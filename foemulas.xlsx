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E5E51738-B45E-4BCB-83FA-E9A68037E606}" xr6:coauthVersionLast="47" xr6:coauthVersionMax="47" xr10:uidLastSave="{00000000-0000-0000-0000-000000000000}"/>
  <bookViews>
    <workbookView xWindow="-110" yWindow="-110" windowWidth="19420" windowHeight="10300" firstSheet="7" activeTab="9" xr2:uid="{FA7A3DAE-6F24-4044-B1A2-473FEA06BDB7}"/>
  </bookViews>
  <sheets>
    <sheet name="statistical formula" sheetId="1" r:id="rId1"/>
    <sheet name="Sheet3" sheetId="3" r:id="rId2"/>
    <sheet name="text formula" sheetId="2" r:id="rId3"/>
    <sheet name="cell refrencing" sheetId="4" r:id="rId4"/>
    <sheet name="time and date formula" sheetId="5" r:id="rId5"/>
    <sheet name="rank formula ,and,or" sheetId="6" r:id="rId6"/>
    <sheet name="round formulas" sheetId="7" r:id="rId7"/>
    <sheet name="sum if,average if,count if " sheetId="8" r:id="rId8"/>
    <sheet name="sum if ,average if,count if for" sheetId="10" r:id="rId9"/>
    <sheet name="sum if ,count if," sheetId="9" r:id="rId10"/>
  </sheets>
  <definedNames>
    <definedName name="_xlnm._FilterDatabase" localSheetId="5" hidden="1">'rank formula ,and,or'!$A$1:$J$11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6" l="1"/>
  <c r="H6" i="8"/>
  <c r="H7" i="8"/>
  <c r="H8" i="8"/>
  <c r="H5" i="8"/>
  <c r="G6" i="8"/>
  <c r="G7" i="8"/>
  <c r="G8" i="8"/>
  <c r="G5" i="8"/>
  <c r="F6" i="8"/>
  <c r="F7" i="8"/>
  <c r="F8" i="8"/>
  <c r="F5" i="8"/>
  <c r="D3" i="7"/>
  <c r="D4" i="7"/>
  <c r="D5" i="7"/>
  <c r="D6" i="7"/>
  <c r="D7" i="7"/>
  <c r="D8" i="7"/>
  <c r="D2" i="7"/>
  <c r="C3" i="7"/>
  <c r="C4" i="7"/>
  <c r="C5" i="7"/>
  <c r="C6" i="7"/>
  <c r="C7" i="7"/>
  <c r="C8" i="7"/>
  <c r="C2" i="7"/>
  <c r="B3" i="7"/>
  <c r="B4" i="7"/>
  <c r="B5" i="7"/>
  <c r="B6" i="7"/>
  <c r="B7" i="7"/>
  <c r="B8" i="7"/>
  <c r="B2" i="7"/>
  <c r="F2" i="6"/>
  <c r="G2" i="6" s="1"/>
  <c r="H2" i="6" s="1"/>
  <c r="D30" i="6"/>
  <c r="D27" i="6"/>
  <c r="D28" i="6"/>
  <c r="D29" i="6"/>
  <c r="D26" i="6"/>
  <c r="C16" i="6"/>
  <c r="C17" i="6"/>
  <c r="C18" i="6"/>
  <c r="C19" i="6"/>
  <c r="C20" i="6"/>
  <c r="C21" i="6"/>
  <c r="C22" i="6"/>
  <c r="C15" i="6"/>
  <c r="G6" i="6"/>
  <c r="I6" i="6" s="1"/>
  <c r="G10" i="6"/>
  <c r="I10" i="6" s="1"/>
  <c r="D33" i="5"/>
  <c r="D34" i="5"/>
  <c r="D35" i="5"/>
  <c r="D32" i="5"/>
  <c r="C33" i="5"/>
  <c r="C34" i="5"/>
  <c r="C35" i="5"/>
  <c r="C32" i="5"/>
  <c r="B33" i="5"/>
  <c r="B34" i="5"/>
  <c r="B35" i="5"/>
  <c r="B32" i="5"/>
  <c r="I25" i="5"/>
  <c r="I26" i="5"/>
  <c r="I27" i="5"/>
  <c r="I24" i="5"/>
  <c r="H25" i="5"/>
  <c r="H26" i="5"/>
  <c r="H27" i="5"/>
  <c r="H24" i="5"/>
  <c r="G25" i="5"/>
  <c r="G26" i="5"/>
  <c r="G27" i="5"/>
  <c r="G24" i="5"/>
  <c r="F25" i="5"/>
  <c r="F26" i="5"/>
  <c r="F27" i="5"/>
  <c r="F24" i="5"/>
  <c r="E25" i="5"/>
  <c r="E26" i="5"/>
  <c r="E27" i="5"/>
  <c r="E24" i="5"/>
  <c r="C25" i="5"/>
  <c r="C26" i="5"/>
  <c r="C27" i="5"/>
  <c r="C24" i="5"/>
  <c r="B18" i="5"/>
  <c r="B19" i="5"/>
  <c r="B20" i="5"/>
  <c r="B17" i="5"/>
  <c r="B11" i="5"/>
  <c r="B12" i="5"/>
  <c r="B13" i="5"/>
  <c r="B10" i="5"/>
  <c r="B3" i="5"/>
  <c r="B4" i="5"/>
  <c r="B5" i="5"/>
  <c r="B2" i="5"/>
  <c r="H3" i="4"/>
  <c r="H4" i="4"/>
  <c r="H5" i="4"/>
  <c r="H6" i="4"/>
  <c r="H7" i="4"/>
  <c r="H8" i="4"/>
  <c r="H9" i="4"/>
  <c r="H10" i="4"/>
  <c r="H11" i="4"/>
  <c r="H12" i="4"/>
  <c r="G3" i="4"/>
  <c r="G4" i="4"/>
  <c r="G5" i="4"/>
  <c r="G6" i="4"/>
  <c r="G7" i="4"/>
  <c r="G8" i="4"/>
  <c r="G9" i="4"/>
  <c r="G10" i="4"/>
  <c r="G11" i="4"/>
  <c r="G12" i="4"/>
  <c r="B12" i="2"/>
  <c r="B13" i="2"/>
  <c r="B14" i="2"/>
  <c r="B11" i="2"/>
  <c r="B81" i="2"/>
  <c r="B82" i="2"/>
  <c r="B83" i="2"/>
  <c r="B80" i="2"/>
  <c r="F6" i="6"/>
  <c r="F10" i="6"/>
  <c r="F9" i="6"/>
  <c r="F4" i="6"/>
  <c r="J4" i="6" s="1"/>
  <c r="F5" i="6"/>
  <c r="J5" i="6" s="1"/>
  <c r="F11" i="6"/>
  <c r="G11" i="6" s="1"/>
  <c r="F8" i="6"/>
  <c r="G8" i="6" s="1"/>
  <c r="F3" i="6"/>
  <c r="G3" i="6" s="1"/>
  <c r="F7" i="6"/>
  <c r="F4" i="4"/>
  <c r="F5" i="4"/>
  <c r="F6" i="4"/>
  <c r="F7" i="4"/>
  <c r="F8" i="4"/>
  <c r="F9" i="4"/>
  <c r="F10" i="4"/>
  <c r="F11" i="4"/>
  <c r="F12" i="4"/>
  <c r="F3" i="4"/>
  <c r="F44" i="2"/>
  <c r="J7" i="6" l="1"/>
  <c r="G7" i="6"/>
  <c r="I7" i="6" s="1"/>
  <c r="J9" i="6"/>
  <c r="G5" i="6"/>
  <c r="I5" i="6" s="1"/>
  <c r="J10" i="6"/>
  <c r="G4" i="6"/>
  <c r="I4" i="6" s="1"/>
  <c r="J6" i="6"/>
  <c r="G9" i="6"/>
  <c r="I9" i="6" s="1"/>
  <c r="H8" i="6"/>
  <c r="I8" i="6"/>
  <c r="H11" i="6"/>
  <c r="I11" i="6"/>
  <c r="I3" i="6"/>
  <c r="H3" i="6"/>
  <c r="J3" i="6"/>
  <c r="J11" i="6"/>
  <c r="J8" i="6"/>
  <c r="H5" i="6"/>
  <c r="H4" i="6"/>
  <c r="H10" i="6"/>
  <c r="H6" i="6"/>
  <c r="H7" i="6"/>
  <c r="I2" i="6"/>
  <c r="H9" i="6" l="1"/>
</calcChain>
</file>

<file path=xl/sharedStrings.xml><?xml version="1.0" encoding="utf-8"?>
<sst xmlns="http://schemas.openxmlformats.org/spreadsheetml/2006/main" count="331" uniqueCount="167">
  <si>
    <t>student name</t>
  </si>
  <si>
    <t>Arav</t>
  </si>
  <si>
    <t>Priya</t>
  </si>
  <si>
    <t>rohan</t>
  </si>
  <si>
    <t>kavya</t>
  </si>
  <si>
    <t>aditiya</t>
  </si>
  <si>
    <t>sneha</t>
  </si>
  <si>
    <t>ikram</t>
  </si>
  <si>
    <t>ananya</t>
  </si>
  <si>
    <t>rajat</t>
  </si>
  <si>
    <t>neha</t>
  </si>
  <si>
    <t>hindi</t>
  </si>
  <si>
    <t>english</t>
  </si>
  <si>
    <t>ab</t>
  </si>
  <si>
    <t>maths</t>
  </si>
  <si>
    <t>science</t>
  </si>
  <si>
    <t>total marks</t>
  </si>
  <si>
    <t>average</t>
  </si>
  <si>
    <t>max</t>
  </si>
  <si>
    <t>min</t>
  </si>
  <si>
    <t>count</t>
  </si>
  <si>
    <t>counta</t>
  </si>
  <si>
    <t>countblank</t>
  </si>
  <si>
    <t>%</t>
  </si>
  <si>
    <t>left</t>
  </si>
  <si>
    <t>names</t>
  </si>
  <si>
    <t>prefix</t>
  </si>
  <si>
    <t>Mr.Arav Shrma</t>
  </si>
  <si>
    <t>Mr.Rohan iyer</t>
  </si>
  <si>
    <t>Mr.Aditya Mehra</t>
  </si>
  <si>
    <t>Mr.Vikram</t>
  </si>
  <si>
    <t>Mr.RajatBns</t>
  </si>
  <si>
    <t>right</t>
  </si>
  <si>
    <t xml:space="preserve">id </t>
  </si>
  <si>
    <t>ABC-123-XYZ</t>
  </si>
  <si>
    <t>MNO-678-YXV</t>
  </si>
  <si>
    <t>JKL-783-RHU</t>
  </si>
  <si>
    <t>HUJ-345-EHJ</t>
  </si>
  <si>
    <t>LENGTH</t>
  </si>
  <si>
    <t>LOWER</t>
  </si>
  <si>
    <t>UPPER</t>
  </si>
  <si>
    <t>mr.arav shrma</t>
  </si>
  <si>
    <t>mr.rohan iyer</t>
  </si>
  <si>
    <t>mr.aditya mehra</t>
  </si>
  <si>
    <t>mr.vikram</t>
  </si>
  <si>
    <t>mr.rajatbns</t>
  </si>
  <si>
    <t>PROPER</t>
  </si>
  <si>
    <t>NAME</t>
  </si>
  <si>
    <t>FIRST NAME</t>
  </si>
  <si>
    <t>LAST NAME</t>
  </si>
  <si>
    <t>FULLNAME</t>
  </si>
  <si>
    <t>Jasvin</t>
  </si>
  <si>
    <t>Kaur</t>
  </si>
  <si>
    <t>ankush</t>
  </si>
  <si>
    <t>gupta</t>
  </si>
  <si>
    <t>mohit</t>
  </si>
  <si>
    <t>arora</t>
  </si>
  <si>
    <t>harjinder</t>
  </si>
  <si>
    <t>singh</t>
  </si>
  <si>
    <t xml:space="preserve">hrpeet </t>
  </si>
  <si>
    <t>kaur</t>
  </si>
  <si>
    <t>birth date</t>
  </si>
  <si>
    <t>days</t>
  </si>
  <si>
    <t>month</t>
  </si>
  <si>
    <t>substitute</t>
  </si>
  <si>
    <t xml:space="preserve">count </t>
  </si>
  <si>
    <t>count blank</t>
  </si>
  <si>
    <t>numbers</t>
  </si>
  <si>
    <t>date</t>
  </si>
  <si>
    <t>time</t>
  </si>
  <si>
    <t>percentage</t>
  </si>
  <si>
    <t>text</t>
  </si>
  <si>
    <t>charcter</t>
  </si>
  <si>
    <t>non empty cell</t>
  </si>
  <si>
    <t xml:space="preserve"> </t>
  </si>
  <si>
    <t>emplty cell/blank cell</t>
  </si>
  <si>
    <t>the life is beautifull</t>
  </si>
  <si>
    <t>priya</t>
  </si>
  <si>
    <t>day</t>
  </si>
  <si>
    <t>year</t>
  </si>
  <si>
    <t>start date</t>
  </si>
  <si>
    <t>end date</t>
  </si>
  <si>
    <t>holidays</t>
  </si>
  <si>
    <t>days360</t>
  </si>
  <si>
    <t>network days</t>
  </si>
  <si>
    <t>networkdays</t>
  </si>
  <si>
    <t>network init</t>
  </si>
  <si>
    <t>networkdaysinit</t>
  </si>
  <si>
    <t>hour</t>
  </si>
  <si>
    <t>minute</t>
  </si>
  <si>
    <t>second</t>
  </si>
  <si>
    <t>result</t>
  </si>
  <si>
    <t>party name</t>
  </si>
  <si>
    <t>amount</t>
  </si>
  <si>
    <t>status</t>
  </si>
  <si>
    <t>A</t>
  </si>
  <si>
    <t>B</t>
  </si>
  <si>
    <t>C</t>
  </si>
  <si>
    <t>D</t>
  </si>
  <si>
    <t>E</t>
  </si>
  <si>
    <t>F</t>
  </si>
  <si>
    <t>G</t>
  </si>
  <si>
    <t>H</t>
  </si>
  <si>
    <t>employee</t>
  </si>
  <si>
    <t>a</t>
  </si>
  <si>
    <t>b</t>
  </si>
  <si>
    <t>c</t>
  </si>
  <si>
    <t>d</t>
  </si>
  <si>
    <t>e</t>
  </si>
  <si>
    <t>experience</t>
  </si>
  <si>
    <t>performance rating</t>
  </si>
  <si>
    <t>bonus eligible</t>
  </si>
  <si>
    <t>JKL-123-RHU</t>
  </si>
  <si>
    <t>cell refrencing</t>
  </si>
  <si>
    <t>1.relative reference</t>
  </si>
  <si>
    <t>2.absolute reference</t>
  </si>
  <si>
    <t>3.mixed reference</t>
  </si>
  <si>
    <t>keep changing</t>
  </si>
  <si>
    <t>sbb kuj fixed</t>
  </si>
  <si>
    <t>half fix half chnge</t>
  </si>
  <si>
    <t>j14</t>
  </si>
  <si>
    <t>grade</t>
  </si>
  <si>
    <t>rank</t>
  </si>
  <si>
    <t>number</t>
  </si>
  <si>
    <t>round</t>
  </si>
  <si>
    <t>roundup</t>
  </si>
  <si>
    <t>rounddown</t>
  </si>
  <si>
    <t>product</t>
  </si>
  <si>
    <t>sales</t>
  </si>
  <si>
    <t>milk</t>
  </si>
  <si>
    <t>bread</t>
  </si>
  <si>
    <t>butter</t>
  </si>
  <si>
    <t>chips</t>
  </si>
  <si>
    <t>sum</t>
  </si>
  <si>
    <t>ex 5&gt;</t>
  </si>
  <si>
    <t>per 4&gt;</t>
  </si>
  <si>
    <t>State</t>
  </si>
  <si>
    <t>Sales</t>
  </si>
  <si>
    <t>Punjab</t>
  </si>
  <si>
    <t>Haryana</t>
  </si>
  <si>
    <t>Delhi</t>
  </si>
  <si>
    <t>Rajasthan</t>
  </si>
  <si>
    <t>Total Sales</t>
  </si>
  <si>
    <t>Average Sales</t>
  </si>
  <si>
    <t>Count</t>
  </si>
  <si>
    <t>?</t>
  </si>
  <si>
    <t>Student</t>
  </si>
  <si>
    <t>Subject</t>
  </si>
  <si>
    <t>Marks</t>
  </si>
  <si>
    <t>City</t>
  </si>
  <si>
    <t>Fees Paid</t>
  </si>
  <si>
    <t>Aman</t>
  </si>
  <si>
    <t>Math</t>
  </si>
  <si>
    <t>Yes</t>
  </si>
  <si>
    <t>Riya</t>
  </si>
  <si>
    <t>English</t>
  </si>
  <si>
    <t>Mumbai</t>
  </si>
  <si>
    <t>No</t>
  </si>
  <si>
    <t>Karan</t>
  </si>
  <si>
    <t>Neha</t>
  </si>
  <si>
    <t>Science</t>
  </si>
  <si>
    <t>Jaipur</t>
  </si>
  <si>
    <t>Simran</t>
  </si>
  <si>
    <t>Rahul</t>
  </si>
  <si>
    <t>Arjun</t>
  </si>
  <si>
    <t>Meena</t>
  </si>
  <si>
    <t>Kabir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</si>
</sst>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color theme="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10" fontId="0" fillId="0" borderId="0" xfId="0" applyNumberFormat="1"/>
    <xf numFmtId="0" fontId="0" fillId="4" borderId="0" xfId="0" applyFill="1"/>
    <xf numFmtId="0" fontId="0" fillId="5" borderId="0" xfId="0" applyFill="1"/>
    <xf numFmtId="0" fontId="1" fillId="5" borderId="0" xfId="0" applyFont="1" applyFill="1"/>
    <xf numFmtId="14" fontId="0" fillId="0" borderId="0" xfId="0" applyNumberFormat="1"/>
    <xf numFmtId="0" fontId="1" fillId="5" borderId="0" xfId="0" applyFont="1" applyFill="1" applyAlignment="1">
      <alignment horizontal="center"/>
    </xf>
    <xf numFmtId="20" fontId="0" fillId="0" borderId="0" xfId="0" applyNumberFormat="1"/>
    <xf numFmtId="0" fontId="2" fillId="0" borderId="0" xfId="1"/>
    <xf numFmtId="22" fontId="0" fillId="0" borderId="0" xfId="0" applyNumberFormat="1"/>
    <xf numFmtId="0" fontId="1" fillId="3" borderId="0" xfId="0" applyFont="1" applyFill="1" applyAlignment="1">
      <alignment horizontal="center"/>
    </xf>
    <xf numFmtId="10" fontId="1" fillId="3" borderId="0" xfId="0" applyNumberFormat="1" applyFont="1" applyFill="1" applyAlignment="1">
      <alignment horizontal="center"/>
    </xf>
    <xf numFmtId="0" fontId="0" fillId="6" borderId="0" xfId="0" applyFill="1"/>
    <xf numFmtId="0" fontId="4" fillId="7" borderId="0" xfId="0" applyFont="1" applyFill="1" applyAlignment="1">
      <alignment horizontal="center"/>
    </xf>
    <xf numFmtId="0" fontId="5" fillId="5" borderId="0" xfId="0" applyFont="1" applyFill="1"/>
    <xf numFmtId="21" fontId="0" fillId="0" borderId="0" xfId="0" applyNumberForma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5.xml"/><Relationship Id="rId13" Type="http://schemas.openxmlformats.org/officeDocument/2006/relationships/image" Target="../media/image6.png"/><Relationship Id="rId3" Type="http://schemas.openxmlformats.org/officeDocument/2006/relationships/customXml" Target="../ink/ink2.xml"/><Relationship Id="rId7" Type="http://schemas.openxmlformats.org/officeDocument/2006/relationships/image" Target="../media/image3.png"/><Relationship Id="rId12" Type="http://schemas.openxmlformats.org/officeDocument/2006/relationships/customXml" Target="../ink/ink7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customXml" Target="../ink/ink4.xml"/><Relationship Id="rId11" Type="http://schemas.openxmlformats.org/officeDocument/2006/relationships/image" Target="../media/image5.png"/><Relationship Id="rId5" Type="http://schemas.openxmlformats.org/officeDocument/2006/relationships/image" Target="../media/image2.png"/><Relationship Id="rId15" Type="http://schemas.openxmlformats.org/officeDocument/2006/relationships/image" Target="../media/image7.png"/><Relationship Id="rId10" Type="http://schemas.openxmlformats.org/officeDocument/2006/relationships/customXml" Target="../ink/ink6.xml"/><Relationship Id="rId4" Type="http://schemas.openxmlformats.org/officeDocument/2006/relationships/customXml" Target="../ink/ink3.xml"/><Relationship Id="rId9" Type="http://schemas.openxmlformats.org/officeDocument/2006/relationships/image" Target="../media/image4.png"/><Relationship Id="rId14" Type="http://schemas.openxmlformats.org/officeDocument/2006/relationships/customXml" Target="../ink/ink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412680</xdr:colOff>
      <xdr:row>8</xdr:row>
      <xdr:rowOff>69760</xdr:rowOff>
    </xdr:from>
    <xdr:to>
      <xdr:col>2</xdr:col>
      <xdr:colOff>413040</xdr:colOff>
      <xdr:row>8</xdr:row>
      <xdr:rowOff>70120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78FF2280-42EC-C772-1AC6-991C7CB33C8A}"/>
                </a:ext>
              </a:extLst>
            </xdr14:cNvPr>
            <xdr14:cNvContentPartPr/>
          </xdr14:nvContentPartPr>
          <xdr14:nvPr macro=""/>
          <xdr14:xfrm>
            <a:off x="1631880" y="1542960"/>
            <a:ext cx="360" cy="36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78FF2280-42EC-C772-1AC6-991C7CB33C8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625760" y="15368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107760</xdr:colOff>
      <xdr:row>9</xdr:row>
      <xdr:rowOff>44370</xdr:rowOff>
    </xdr:from>
    <xdr:to>
      <xdr:col>5</xdr:col>
      <xdr:colOff>108120</xdr:colOff>
      <xdr:row>9</xdr:row>
      <xdr:rowOff>44730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B9A2437C-92FD-AED9-F3D3-D1EF2AE85B02}"/>
                </a:ext>
              </a:extLst>
            </xdr14:cNvPr>
            <xdr14:cNvContentPartPr/>
          </xdr14:nvContentPartPr>
          <xdr14:nvPr macro=""/>
          <xdr14:xfrm>
            <a:off x="3155760" y="1701720"/>
            <a:ext cx="360" cy="36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B9A2437C-92FD-AED9-F3D3-D1EF2AE85B0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149640" y="16956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215760</xdr:colOff>
      <xdr:row>4</xdr:row>
      <xdr:rowOff>19040</xdr:rowOff>
    </xdr:from>
    <xdr:to>
      <xdr:col>2</xdr:col>
      <xdr:colOff>216120</xdr:colOff>
      <xdr:row>4</xdr:row>
      <xdr:rowOff>19400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7A1D5A6B-643D-0777-C7CC-F1FF2538B583}"/>
                </a:ext>
              </a:extLst>
            </xdr14:cNvPr>
            <xdr14:cNvContentPartPr/>
          </xdr14:nvContentPartPr>
          <xdr14:nvPr macro=""/>
          <xdr14:xfrm>
            <a:off x="1434960" y="755640"/>
            <a:ext cx="360" cy="36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7A1D5A6B-643D-0777-C7CC-F1FF2538B583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428840" y="7495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533400</xdr:colOff>
      <xdr:row>4</xdr:row>
      <xdr:rowOff>8600</xdr:rowOff>
    </xdr:from>
    <xdr:to>
      <xdr:col>3</xdr:col>
      <xdr:colOff>146160</xdr:colOff>
      <xdr:row>10</xdr:row>
      <xdr:rowOff>153620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98313F91-DDE3-B223-67B4-970879DC00DD}"/>
                </a:ext>
              </a:extLst>
            </xdr14:cNvPr>
            <xdr14:cNvContentPartPr/>
          </xdr14:nvContentPartPr>
          <xdr14:nvPr macro=""/>
          <xdr14:xfrm>
            <a:off x="1143000" y="745200"/>
            <a:ext cx="831960" cy="124992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98313F91-DDE3-B223-67B4-970879DC00DD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136880" y="739080"/>
              <a:ext cx="844200" cy="1262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361830</xdr:colOff>
      <xdr:row>10</xdr:row>
      <xdr:rowOff>37980</xdr:rowOff>
    </xdr:from>
    <xdr:to>
      <xdr:col>4</xdr:col>
      <xdr:colOff>349470</xdr:colOff>
      <xdr:row>12</xdr:row>
      <xdr:rowOff>19240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2E948C7D-423A-F61B-7B84-4B6D748C1800}"/>
                </a:ext>
              </a:extLst>
            </xdr14:cNvPr>
            <xdr14:cNvContentPartPr/>
          </xdr14:nvContentPartPr>
          <xdr14:nvPr macro=""/>
          <xdr14:xfrm>
            <a:off x="361830" y="1879480"/>
            <a:ext cx="2426040" cy="34956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2E948C7D-423A-F61B-7B84-4B6D748C1800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55710" y="1873360"/>
              <a:ext cx="2438280" cy="361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393670</xdr:colOff>
      <xdr:row>9</xdr:row>
      <xdr:rowOff>100190</xdr:rowOff>
    </xdr:from>
    <xdr:to>
      <xdr:col>10</xdr:col>
      <xdr:colOff>305350</xdr:colOff>
      <xdr:row>10</xdr:row>
      <xdr:rowOff>89560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A676CF55-D9B2-C2D0-C6CC-455C07FD3ECD}"/>
                </a:ext>
              </a:extLst>
            </xdr14:cNvPr>
            <xdr14:cNvContentPartPr/>
          </xdr14:nvContentPartPr>
          <xdr14:nvPr macro=""/>
          <xdr14:xfrm>
            <a:off x="7524720" y="1757540"/>
            <a:ext cx="521280" cy="17352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A676CF55-D9B2-C2D0-C6CC-455C07FD3ECD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7518600" y="1751420"/>
              <a:ext cx="533520" cy="18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69550</xdr:colOff>
      <xdr:row>10</xdr:row>
      <xdr:rowOff>177400</xdr:rowOff>
    </xdr:from>
    <xdr:to>
      <xdr:col>10</xdr:col>
      <xdr:colOff>184030</xdr:colOff>
      <xdr:row>11</xdr:row>
      <xdr:rowOff>21690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283F60D5-9489-B376-6F25-0FA7EF525287}"/>
                </a:ext>
              </a:extLst>
            </xdr14:cNvPr>
            <xdr14:cNvContentPartPr/>
          </xdr14:nvContentPartPr>
          <xdr14:nvPr macro=""/>
          <xdr14:xfrm>
            <a:off x="7810200" y="2018900"/>
            <a:ext cx="114480" cy="2844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283F60D5-9489-B376-6F25-0FA7EF525287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7804080" y="2012780"/>
              <a:ext cx="126720" cy="4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88630</xdr:colOff>
      <xdr:row>11</xdr:row>
      <xdr:rowOff>11250</xdr:rowOff>
    </xdr:from>
    <xdr:to>
      <xdr:col>10</xdr:col>
      <xdr:colOff>220390</xdr:colOff>
      <xdr:row>11</xdr:row>
      <xdr:rowOff>82170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DD6FFDC9-E811-CF71-2DBD-E571C2B1E2AF}"/>
                </a:ext>
              </a:extLst>
            </xdr14:cNvPr>
            <xdr14:cNvContentPartPr/>
          </xdr14:nvContentPartPr>
          <xdr14:nvPr macro=""/>
          <xdr14:xfrm>
            <a:off x="7829280" y="2036900"/>
            <a:ext cx="131760" cy="7092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DD6FFDC9-E811-CF71-2DBD-E571C2B1E2AF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7823160" y="2030780"/>
              <a:ext cx="144000" cy="831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3T09:46:13.77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0 24575,'0'0'-8191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3T09:46:20.17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3247 3626 24575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3T09:46:38.2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24575,'0'0'-8191</inkml:trace>
  <inkml:trace contextRef="#ctx0" brushRef="#br0" timeOffset="222.14">0 0 24575,'0'0'-8191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3T09:46:44.3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0 2287 24575</inkml:trace>
  <inkml:trace contextRef="#ctx0" brushRef="#br0" timeOffset="652.69">0 2287 24575,'73'-84'0,"-43"50"0,102-112 0,62-73-1159,-53 58-1738,499-552-275,49 51 2879,-433 463 1180,-245 192-818,3-3-47,-1 1-1,1 0 1,1 1 0,-1 0 0,23-7-1,-36 15 9,0 0-1,0-1 0,0 1 0,0 0 0,0-1 0,0 1 0,0 0 0,0 0 0,0 0 0,0 0 0,0 0 0,0 0 0,0 0 1,0 0-1,0 1 0,0-1 0,0 0 0,0 0 0,0 1 0,0-1 0,0 1 0,0-1 0,0 1 0,-1-1 0,1 1 0,0 0 1,0-1-1,0 1 0,0 1 0,1 1 153,-1 1 1,0-1 0,0 0 0,0 0-1,0 1 1,-1-1 0,1 0 0,-1 1-1,0 4 1,0 15-14,-1-1-1,-1 1 1,-7 31 0,-26 83-304,-43 108-27,-38 72-485,-511 1174-2573,498-1195 3022,25-49-595,45-98 724,-117 250 2167,167-381 274,8-15-737,2-7-254,10-25-889,247-533-1152,-228 500 170,34-63 171,74-166 346,-138 290-27,1 0 0,-1 0 0,1 0 0,-1 0 0,1 0 0,-1 0 0,0 0 0,1 0 0,-1 0 0,0 0 0,0-1 0,0 1 0,0 0 0,0 0 0,0 0 0,-1-2 1,1 3-1,-1 0 0,0 0 0,0 1 0,0-1 0,1 0 0,-1 0 0,0 1 0,0-1 0,0 0 0,1 1 0,-1-1 0,0 1 0,1-1 0,-1 1 0,0-1 0,1 1 0,-1-1 0,1 1 0,-2 1 0,-24 28-1074,-3 8-4296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3T09:57:37.1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6740 974 22551,'-6738'-970'0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10:34:37.43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1 180 24575,'-1'18'0,"2"0"0,0 0 0,6 30 0,-5-42 0,0-1 0,0 1 0,0 0 0,0 0 0,1-1 0,0 1 0,0-1 0,1 0 0,-1 0 0,1 0 0,0-1 0,1 1 0,-1-1 0,8 6 0,2 0 0,15 12 0,54 29 0,-73-45 0,1-1 0,1 0 0,-1-1 0,1-1 0,-1 0 0,1 0 0,0-1 0,0-1 0,13 1 0,-8-2 0,5 0 0,0 0 0,36-7 0,-52 6 0,1 0 0,-1-1 0,1 0 0,-1-1 0,0 1 0,0-1 0,0-1 0,-1 1 0,1-1 0,-1 0 0,1 0 0,-1 0 0,5-6 0,44-45 0,-36 38 0,0 0 0,-2-2 0,25-34 0,-26 32 0,1 0 0,1 1 0,35-31 0,-24 24 0,-17 18 0,0 1 0,0 0 0,1 1 0,0 0 0,0 1 0,18-6 0,25-15 0,-43 21 0,-1 1 0,1 0 0,0 0 0,0 1 0,0 0 0,20-2 0,-4 3 0,54 1 0,-22 1 0,-33 0 0,1 1 0,33 4 0,-57-3 0,-1 0 0,1 0 0,0 0 0,-1 0 0,1 1 0,-1-1 0,0 1 0,1 0 0,-1 0 0,0 0 0,0 0 0,0 1 0,4 5 0,-2-2 0,-1-1 0,1 2 0,-2-1 0,1 0 0,-1 1 0,5 12 0,-2-1 0,-2 1 0,0 0 0,0 0 0,0 32 0,-4-33-1365,0-3-5461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10:34:40.82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24575,'18'-1'0,"1"1"0,0 1 0,0 1 0,-1 0 0,1 1 0,-1 1 0,0 1 0,19 8 0,82 29-1365,-106-36-5461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10:34:44.87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4 24575,'56'-2'0,"-33"1"0,-1 0 0,0 1 0,1 2 0,-1 0 0,23 6 0,-37-6 9,-1 1-1,-1 0 1,1 0-1,0 1 1,-1 0 0,0 0-1,0 1 1,0-1-1,0 1 1,-1 1-1,1-1 1,-2 1-1,7 8 1,1 4-380,-1 1-1,0 0 1,9 26 0,-13-30-6455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B8E26-41C0-4FC7-91AF-B00FFED26027}">
  <dimension ref="A1:M11"/>
  <sheetViews>
    <sheetView zoomScale="115" workbookViewId="0">
      <selection sqref="A1:F11"/>
    </sheetView>
  </sheetViews>
  <sheetFormatPr defaultRowHeight="14.5" x14ac:dyDescent="0.35"/>
  <cols>
    <col min="1" max="1" width="12.36328125" bestFit="1" customWidth="1"/>
    <col min="2" max="2" width="5" bestFit="1" customWidth="1"/>
    <col min="3" max="3" width="6.6328125" bestFit="1" customWidth="1"/>
    <col min="4" max="4" width="6" bestFit="1" customWidth="1"/>
    <col min="5" max="5" width="6.81640625" bestFit="1" customWidth="1"/>
    <col min="6" max="6" width="10.1796875" bestFit="1" customWidth="1"/>
    <col min="7" max="7" width="7.36328125" bestFit="1" customWidth="1"/>
    <col min="8" max="8" width="7.54296875" customWidth="1"/>
    <col min="12" max="12" width="10.08984375" bestFit="1" customWidth="1"/>
  </cols>
  <sheetData>
    <row r="1" spans="1:13" x14ac:dyDescent="0.35">
      <c r="A1" s="2" t="s">
        <v>0</v>
      </c>
      <c r="B1" s="2" t="s">
        <v>11</v>
      </c>
      <c r="C1" s="2" t="s">
        <v>12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</row>
    <row r="2" spans="1:13" x14ac:dyDescent="0.35">
      <c r="A2" s="1" t="s">
        <v>1</v>
      </c>
      <c r="B2" s="1">
        <v>90</v>
      </c>
      <c r="C2" s="1" t="s">
        <v>13</v>
      </c>
      <c r="D2" s="1">
        <v>10</v>
      </c>
      <c r="E2" s="1">
        <v>47</v>
      </c>
      <c r="M2" s="3"/>
    </row>
    <row r="3" spans="1:13" x14ac:dyDescent="0.35">
      <c r="A3" s="1" t="s">
        <v>2</v>
      </c>
      <c r="B3" s="1">
        <v>17</v>
      </c>
      <c r="C3" s="1">
        <v>84</v>
      </c>
      <c r="D3" s="1">
        <v>0</v>
      </c>
      <c r="E3" s="1">
        <v>49</v>
      </c>
      <c r="M3" s="3"/>
    </row>
    <row r="4" spans="1:13" x14ac:dyDescent="0.35">
      <c r="A4" s="1" t="s">
        <v>3</v>
      </c>
      <c r="B4" s="1">
        <v>35</v>
      </c>
      <c r="C4" s="1" t="s">
        <v>13</v>
      </c>
      <c r="D4" s="1"/>
      <c r="E4" s="1">
        <v>33</v>
      </c>
      <c r="M4" s="3"/>
    </row>
    <row r="5" spans="1:13" x14ac:dyDescent="0.35">
      <c r="A5" s="1" t="s">
        <v>4</v>
      </c>
      <c r="B5" s="1">
        <v>83</v>
      </c>
      <c r="C5" s="1" t="s">
        <v>13</v>
      </c>
      <c r="D5" s="1" t="s">
        <v>13</v>
      </c>
      <c r="E5" s="1">
        <v>18</v>
      </c>
      <c r="M5" s="3"/>
    </row>
    <row r="6" spans="1:13" x14ac:dyDescent="0.35">
      <c r="A6" s="1" t="s">
        <v>5</v>
      </c>
      <c r="B6" s="1">
        <v>74</v>
      </c>
      <c r="C6" s="1"/>
      <c r="D6" s="1">
        <v>27</v>
      </c>
      <c r="E6" s="1">
        <v>32</v>
      </c>
      <c r="M6" s="3"/>
    </row>
    <row r="7" spans="1:13" x14ac:dyDescent="0.35">
      <c r="A7" s="1" t="s">
        <v>6</v>
      </c>
      <c r="B7" s="1">
        <v>34</v>
      </c>
      <c r="C7" s="1">
        <v>63</v>
      </c>
      <c r="D7" s="1">
        <v>73</v>
      </c>
      <c r="E7" s="1">
        <v>87</v>
      </c>
      <c r="M7" s="3"/>
    </row>
    <row r="8" spans="1:13" x14ac:dyDescent="0.35">
      <c r="A8" s="1" t="s">
        <v>7</v>
      </c>
      <c r="B8" s="1">
        <v>34</v>
      </c>
      <c r="C8" s="1"/>
      <c r="D8" s="1"/>
      <c r="E8" s="1">
        <v>51</v>
      </c>
      <c r="M8" s="3"/>
    </row>
    <row r="9" spans="1:13" x14ac:dyDescent="0.35">
      <c r="A9" s="1" t="s">
        <v>8</v>
      </c>
      <c r="B9" s="1">
        <v>65</v>
      </c>
      <c r="C9" s="1" t="s">
        <v>13</v>
      </c>
      <c r="D9" s="1">
        <v>54</v>
      </c>
      <c r="E9" s="1">
        <v>0</v>
      </c>
      <c r="M9" s="3"/>
    </row>
    <row r="10" spans="1:13" x14ac:dyDescent="0.35">
      <c r="A10" s="1" t="s">
        <v>9</v>
      </c>
      <c r="B10" s="1">
        <v>61</v>
      </c>
      <c r="C10" s="1">
        <v>13</v>
      </c>
      <c r="D10" s="1"/>
      <c r="E10" s="1">
        <v>60</v>
      </c>
      <c r="M10" s="3"/>
    </row>
    <row r="11" spans="1:13" x14ac:dyDescent="0.35">
      <c r="A11" s="1" t="s">
        <v>10</v>
      </c>
      <c r="B11" s="1">
        <v>82</v>
      </c>
      <c r="C11" s="1">
        <v>82</v>
      </c>
      <c r="D11" s="1">
        <v>75</v>
      </c>
      <c r="E11" s="1">
        <v>25</v>
      </c>
      <c r="M1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316F4-4F41-469B-A604-189D236665D3}">
  <dimension ref="G4:J16"/>
  <sheetViews>
    <sheetView topLeftCell="A3" workbookViewId="0">
      <selection activeCell="J14" sqref="J14"/>
    </sheetView>
  </sheetViews>
  <sheetFormatPr defaultRowHeight="14.5" x14ac:dyDescent="0.35"/>
  <cols>
    <col min="7" max="7" width="18.1796875" bestFit="1" customWidth="1"/>
    <col min="8" max="8" width="13.08984375" bestFit="1" customWidth="1"/>
    <col min="9" max="9" width="18.453125" bestFit="1" customWidth="1"/>
  </cols>
  <sheetData>
    <row r="4" spans="7:10" x14ac:dyDescent="0.35">
      <c r="G4" t="s">
        <v>65</v>
      </c>
      <c r="H4" t="s">
        <v>21</v>
      </c>
      <c r="I4" t="s">
        <v>66</v>
      </c>
    </row>
    <row r="5" spans="7:10" x14ac:dyDescent="0.35">
      <c r="I5" t="s">
        <v>74</v>
      </c>
    </row>
    <row r="6" spans="7:10" x14ac:dyDescent="0.35">
      <c r="G6" t="s">
        <v>67</v>
      </c>
      <c r="H6" t="s">
        <v>71</v>
      </c>
      <c r="I6" t="s">
        <v>75</v>
      </c>
    </row>
    <row r="7" spans="7:10" x14ac:dyDescent="0.35">
      <c r="G7" t="s">
        <v>68</v>
      </c>
      <c r="H7" t="s">
        <v>72</v>
      </c>
    </row>
    <row r="8" spans="7:10" x14ac:dyDescent="0.35">
      <c r="G8" t="s">
        <v>69</v>
      </c>
      <c r="H8" t="s">
        <v>73</v>
      </c>
    </row>
    <row r="9" spans="7:10" x14ac:dyDescent="0.35">
      <c r="G9" t="s">
        <v>70</v>
      </c>
    </row>
    <row r="13" spans="7:10" x14ac:dyDescent="0.35">
      <c r="G13" t="s">
        <v>113</v>
      </c>
    </row>
    <row r="14" spans="7:10" x14ac:dyDescent="0.35">
      <c r="G14" t="s">
        <v>114</v>
      </c>
      <c r="H14" t="s">
        <v>117</v>
      </c>
      <c r="J14" t="s">
        <v>120</v>
      </c>
    </row>
    <row r="15" spans="7:10" x14ac:dyDescent="0.35">
      <c r="G15" t="s">
        <v>115</v>
      </c>
      <c r="H15" t="s">
        <v>118</v>
      </c>
    </row>
    <row r="16" spans="7:10" x14ac:dyDescent="0.35">
      <c r="G16" t="s">
        <v>116</v>
      </c>
      <c r="H16" t="s">
        <v>119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A4D77-DD50-420E-817F-6F102813E1FB}">
  <dimension ref="A1:H88"/>
  <sheetViews>
    <sheetView topLeftCell="A67" zoomScale="155" workbookViewId="0">
      <selection activeCell="B11" sqref="B11"/>
    </sheetView>
  </sheetViews>
  <sheetFormatPr defaultRowHeight="14.5" x14ac:dyDescent="0.35"/>
  <cols>
    <col min="1" max="1" width="15.1796875" bestFit="1" customWidth="1"/>
    <col min="2" max="2" width="17.26953125" bestFit="1" customWidth="1"/>
    <col min="3" max="3" width="15.54296875" bestFit="1" customWidth="1"/>
    <col min="4" max="4" width="10.453125" bestFit="1" customWidth="1"/>
    <col min="8" max="8" width="10.81640625" bestFit="1" customWidth="1"/>
  </cols>
  <sheetData>
    <row r="1" spans="1:8" x14ac:dyDescent="0.35">
      <c r="A1" s="13" t="s">
        <v>24</v>
      </c>
      <c r="B1" s="13"/>
    </row>
    <row r="2" spans="1:8" x14ac:dyDescent="0.35">
      <c r="A2" s="4" t="s">
        <v>25</v>
      </c>
      <c r="B2" s="4" t="s">
        <v>26</v>
      </c>
    </row>
    <row r="3" spans="1:8" x14ac:dyDescent="0.35">
      <c r="A3" t="s">
        <v>27</v>
      </c>
    </row>
    <row r="4" spans="1:8" x14ac:dyDescent="0.35">
      <c r="A4" t="s">
        <v>28</v>
      </c>
    </row>
    <row r="5" spans="1:8" x14ac:dyDescent="0.35">
      <c r="A5" t="s">
        <v>29</v>
      </c>
    </row>
    <row r="6" spans="1:8" x14ac:dyDescent="0.35">
      <c r="A6" t="s">
        <v>30</v>
      </c>
    </row>
    <row r="7" spans="1:8" x14ac:dyDescent="0.35">
      <c r="A7" t="s">
        <v>31</v>
      </c>
    </row>
    <row r="9" spans="1:8" x14ac:dyDescent="0.35">
      <c r="A9" s="12" t="s">
        <v>32</v>
      </c>
      <c r="B9" s="12"/>
    </row>
    <row r="10" spans="1:8" x14ac:dyDescent="0.35">
      <c r="A10" s="5" t="s">
        <v>33</v>
      </c>
      <c r="B10" s="5"/>
    </row>
    <row r="11" spans="1:8" x14ac:dyDescent="0.35">
      <c r="A11" t="s">
        <v>34</v>
      </c>
      <c r="B11" t="str">
        <f>MID(A11,5,3)</f>
        <v>123</v>
      </c>
      <c r="H11" s="9"/>
    </row>
    <row r="12" spans="1:8" x14ac:dyDescent="0.35">
      <c r="A12" t="s">
        <v>35</v>
      </c>
      <c r="B12" t="str">
        <f t="shared" ref="B12:B14" si="0">MID(A12,5,3)</f>
        <v>678</v>
      </c>
    </row>
    <row r="13" spans="1:8" x14ac:dyDescent="0.35">
      <c r="A13" t="s">
        <v>36</v>
      </c>
      <c r="B13" t="str">
        <f t="shared" si="0"/>
        <v>783</v>
      </c>
    </row>
    <row r="14" spans="1:8" x14ac:dyDescent="0.35">
      <c r="A14" t="s">
        <v>37</v>
      </c>
      <c r="B14" t="str">
        <f t="shared" si="0"/>
        <v>345</v>
      </c>
    </row>
    <row r="17" spans="1:2" x14ac:dyDescent="0.35">
      <c r="A17" s="12" t="s">
        <v>38</v>
      </c>
      <c r="B17" s="12"/>
    </row>
    <row r="18" spans="1:2" x14ac:dyDescent="0.35">
      <c r="A18" s="5" t="s">
        <v>33</v>
      </c>
      <c r="B18" s="5"/>
    </row>
    <row r="19" spans="1:2" x14ac:dyDescent="0.35">
      <c r="A19" t="s">
        <v>34</v>
      </c>
    </row>
    <row r="20" spans="1:2" x14ac:dyDescent="0.35">
      <c r="A20" t="s">
        <v>35</v>
      </c>
    </row>
    <row r="21" spans="1:2" x14ac:dyDescent="0.35">
      <c r="A21" t="s">
        <v>36</v>
      </c>
    </row>
    <row r="22" spans="1:2" x14ac:dyDescent="0.35">
      <c r="A22" t="s">
        <v>37</v>
      </c>
    </row>
    <row r="25" spans="1:2" x14ac:dyDescent="0.35">
      <c r="A25" s="12" t="s">
        <v>39</v>
      </c>
      <c r="B25" s="12"/>
    </row>
    <row r="26" spans="1:2" x14ac:dyDescent="0.35">
      <c r="A26" s="5" t="s">
        <v>33</v>
      </c>
      <c r="B26" s="5"/>
    </row>
    <row r="27" spans="1:2" x14ac:dyDescent="0.35">
      <c r="A27" t="s">
        <v>34</v>
      </c>
    </row>
    <row r="28" spans="1:2" x14ac:dyDescent="0.35">
      <c r="A28" t="s">
        <v>35</v>
      </c>
    </row>
    <row r="29" spans="1:2" x14ac:dyDescent="0.35">
      <c r="A29" t="s">
        <v>36</v>
      </c>
    </row>
    <row r="30" spans="1:2" x14ac:dyDescent="0.35">
      <c r="A30" t="s">
        <v>37</v>
      </c>
    </row>
    <row r="32" spans="1:2" x14ac:dyDescent="0.35">
      <c r="A32" s="13" t="s">
        <v>40</v>
      </c>
      <c r="B32" s="13"/>
    </row>
    <row r="33" spans="1:6" x14ac:dyDescent="0.35">
      <c r="A33" s="4" t="s">
        <v>25</v>
      </c>
      <c r="B33" s="4" t="s">
        <v>26</v>
      </c>
    </row>
    <row r="34" spans="1:6" x14ac:dyDescent="0.35">
      <c r="A34" t="s">
        <v>27</v>
      </c>
    </row>
    <row r="35" spans="1:6" x14ac:dyDescent="0.35">
      <c r="A35" t="s">
        <v>28</v>
      </c>
    </row>
    <row r="36" spans="1:6" x14ac:dyDescent="0.35">
      <c r="A36" t="s">
        <v>29</v>
      </c>
    </row>
    <row r="37" spans="1:6" x14ac:dyDescent="0.35">
      <c r="A37" t="s">
        <v>30</v>
      </c>
    </row>
    <row r="38" spans="1:6" x14ac:dyDescent="0.35">
      <c r="A38" t="s">
        <v>31</v>
      </c>
    </row>
    <row r="42" spans="1:6" x14ac:dyDescent="0.35">
      <c r="A42" s="13" t="s">
        <v>46</v>
      </c>
      <c r="B42" s="13"/>
    </row>
    <row r="43" spans="1:6" x14ac:dyDescent="0.35">
      <c r="A43" s="4" t="s">
        <v>47</v>
      </c>
      <c r="B43" s="4"/>
    </row>
    <row r="44" spans="1:6" x14ac:dyDescent="0.35">
      <c r="A44" t="s">
        <v>41</v>
      </c>
      <c r="D44" t="s">
        <v>76</v>
      </c>
      <c r="F44" t="str">
        <f>PROPER(D44)</f>
        <v>The Life Is Beautifull</v>
      </c>
    </row>
    <row r="45" spans="1:6" x14ac:dyDescent="0.35">
      <c r="A45" t="s">
        <v>42</v>
      </c>
    </row>
    <row r="46" spans="1:6" x14ac:dyDescent="0.35">
      <c r="A46" t="s">
        <v>43</v>
      </c>
    </row>
    <row r="47" spans="1:6" x14ac:dyDescent="0.35">
      <c r="A47" t="s">
        <v>44</v>
      </c>
    </row>
    <row r="48" spans="1:6" x14ac:dyDescent="0.35">
      <c r="A48" t="s">
        <v>45</v>
      </c>
    </row>
    <row r="50" spans="1:4" x14ac:dyDescent="0.35">
      <c r="A50" s="6" t="s">
        <v>48</v>
      </c>
      <c r="B50" s="6" t="s">
        <v>49</v>
      </c>
      <c r="C50" s="6" t="s">
        <v>50</v>
      </c>
    </row>
    <row r="51" spans="1:4" x14ac:dyDescent="0.35">
      <c r="A51" s="1" t="s">
        <v>51</v>
      </c>
      <c r="B51" s="1" t="s">
        <v>52</v>
      </c>
      <c r="C51" s="10"/>
    </row>
    <row r="52" spans="1:4" x14ac:dyDescent="0.35">
      <c r="A52" s="1" t="s">
        <v>53</v>
      </c>
      <c r="B52" s="1" t="s">
        <v>54</v>
      </c>
      <c r="C52" s="10"/>
    </row>
    <row r="53" spans="1:4" x14ac:dyDescent="0.35">
      <c r="A53" s="1" t="s">
        <v>55</v>
      </c>
      <c r="B53" s="1" t="s">
        <v>56</v>
      </c>
      <c r="C53" s="10"/>
    </row>
    <row r="54" spans="1:4" x14ac:dyDescent="0.35">
      <c r="A54" s="1" t="s">
        <v>57</v>
      </c>
      <c r="B54" s="1" t="s">
        <v>58</v>
      </c>
      <c r="C54" s="10"/>
    </row>
    <row r="55" spans="1:4" x14ac:dyDescent="0.35">
      <c r="A55" s="1" t="s">
        <v>59</v>
      </c>
      <c r="B55" s="1" t="s">
        <v>60</v>
      </c>
      <c r="C55" s="10"/>
    </row>
    <row r="58" spans="1:4" x14ac:dyDescent="0.35">
      <c r="A58" s="8" t="s">
        <v>61</v>
      </c>
      <c r="B58" s="8" t="s">
        <v>62</v>
      </c>
    </row>
    <row r="59" spans="1:4" x14ac:dyDescent="0.35">
      <c r="A59" s="7">
        <v>35230</v>
      </c>
    </row>
    <row r="60" spans="1:4" x14ac:dyDescent="0.35">
      <c r="A60" s="7">
        <v>36061</v>
      </c>
      <c r="D60" s="7"/>
    </row>
    <row r="61" spans="1:4" x14ac:dyDescent="0.35">
      <c r="A61" s="7">
        <v>37084</v>
      </c>
    </row>
    <row r="62" spans="1:4" x14ac:dyDescent="0.35">
      <c r="A62" s="7">
        <v>34807</v>
      </c>
    </row>
    <row r="63" spans="1:4" x14ac:dyDescent="0.35">
      <c r="A63" s="7">
        <v>37651</v>
      </c>
    </row>
    <row r="64" spans="1:4" x14ac:dyDescent="0.35">
      <c r="A64" s="7">
        <v>36841</v>
      </c>
    </row>
    <row r="65" spans="1:2" x14ac:dyDescent="0.35">
      <c r="A65" s="7">
        <v>34844</v>
      </c>
    </row>
    <row r="66" spans="1:2" x14ac:dyDescent="0.35">
      <c r="A66" s="7"/>
    </row>
    <row r="68" spans="1:2" x14ac:dyDescent="0.35">
      <c r="A68" s="8" t="s">
        <v>61</v>
      </c>
      <c r="B68" s="8" t="s">
        <v>63</v>
      </c>
    </row>
    <row r="69" spans="1:2" x14ac:dyDescent="0.35">
      <c r="A69" s="7">
        <v>35230</v>
      </c>
    </row>
    <row r="70" spans="1:2" x14ac:dyDescent="0.35">
      <c r="A70" s="7">
        <v>36061</v>
      </c>
    </row>
    <row r="71" spans="1:2" x14ac:dyDescent="0.35">
      <c r="A71" s="7">
        <v>37084</v>
      </c>
    </row>
    <row r="72" spans="1:2" x14ac:dyDescent="0.35">
      <c r="A72" s="7">
        <v>34807</v>
      </c>
    </row>
    <row r="73" spans="1:2" x14ac:dyDescent="0.35">
      <c r="A73" s="7">
        <v>37651</v>
      </c>
    </row>
    <row r="74" spans="1:2" x14ac:dyDescent="0.35">
      <c r="A74" s="7">
        <v>36841</v>
      </c>
    </row>
    <row r="75" spans="1:2" x14ac:dyDescent="0.35">
      <c r="A75" s="7">
        <v>34844</v>
      </c>
    </row>
    <row r="78" spans="1:2" x14ac:dyDescent="0.35">
      <c r="A78" s="12" t="s">
        <v>64</v>
      </c>
      <c r="B78" s="12"/>
    </row>
    <row r="79" spans="1:2" x14ac:dyDescent="0.35">
      <c r="A79" s="5" t="s">
        <v>33</v>
      </c>
      <c r="B79" s="5"/>
    </row>
    <row r="80" spans="1:2" x14ac:dyDescent="0.35">
      <c r="A80" t="s">
        <v>34</v>
      </c>
      <c r="B80" t="str">
        <f>SUBSTITUTE(A80,"123","567")</f>
        <v>ABC-567-XYZ</v>
      </c>
    </row>
    <row r="81" spans="1:3" x14ac:dyDescent="0.35">
      <c r="A81" t="s">
        <v>35</v>
      </c>
      <c r="B81" t="str">
        <f t="shared" ref="B81:B83" si="1">SUBSTITUTE(A81,"123","567")</f>
        <v>MNO-678-YXV</v>
      </c>
    </row>
    <row r="82" spans="1:3" x14ac:dyDescent="0.35">
      <c r="A82" t="s">
        <v>112</v>
      </c>
      <c r="B82" t="str">
        <f t="shared" si="1"/>
        <v>JKL-567-RHU</v>
      </c>
    </row>
    <row r="83" spans="1:3" x14ac:dyDescent="0.35">
      <c r="A83" t="s">
        <v>37</v>
      </c>
      <c r="B83" t="str">
        <f t="shared" si="1"/>
        <v>HUJ-345-EHJ</v>
      </c>
    </row>
    <row r="87" spans="1:3" x14ac:dyDescent="0.35">
      <c r="B87" s="7"/>
    </row>
    <row r="88" spans="1:3" x14ac:dyDescent="0.35">
      <c r="B88" s="11"/>
      <c r="C88" s="11"/>
    </row>
  </sheetData>
  <mergeCells count="7">
    <mergeCell ref="A78:B78"/>
    <mergeCell ref="A1:B1"/>
    <mergeCell ref="A9:B9"/>
    <mergeCell ref="A17:B17"/>
    <mergeCell ref="A25:B25"/>
    <mergeCell ref="A32:B32"/>
    <mergeCell ref="A42:B4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524CE-BE1C-4381-975C-F8EAB9EBF4A0}">
  <dimension ref="A1:I12"/>
  <sheetViews>
    <sheetView workbookViewId="0">
      <selection activeCell="J3" sqref="J3"/>
    </sheetView>
  </sheetViews>
  <sheetFormatPr defaultRowHeight="14.5" x14ac:dyDescent="0.35"/>
  <cols>
    <col min="1" max="1" width="12.36328125" bestFit="1" customWidth="1"/>
    <col min="2" max="2" width="10.1796875" bestFit="1" customWidth="1"/>
    <col min="4" max="4" width="10.1796875" bestFit="1" customWidth="1"/>
    <col min="6" max="6" width="10.1796875" bestFit="1" customWidth="1"/>
  </cols>
  <sheetData>
    <row r="1" spans="1:9" x14ac:dyDescent="0.35">
      <c r="D1" s="14" t="s">
        <v>16</v>
      </c>
      <c r="E1" s="14">
        <v>400</v>
      </c>
    </row>
    <row r="2" spans="1:9" x14ac:dyDescent="0.35">
      <c r="A2" s="2" t="s">
        <v>0</v>
      </c>
      <c r="B2" s="2" t="s">
        <v>11</v>
      </c>
      <c r="C2" s="2" t="s">
        <v>12</v>
      </c>
      <c r="D2" s="2" t="s">
        <v>14</v>
      </c>
      <c r="E2" s="2" t="s">
        <v>15</v>
      </c>
      <c r="F2" s="2" t="s">
        <v>16</v>
      </c>
      <c r="G2" s="2" t="s">
        <v>23</v>
      </c>
      <c r="H2" s="2" t="s">
        <v>23</v>
      </c>
      <c r="I2" s="2" t="s">
        <v>23</v>
      </c>
    </row>
    <row r="3" spans="1:9" x14ac:dyDescent="0.35">
      <c r="A3" s="1" t="s">
        <v>1</v>
      </c>
      <c r="B3" s="1">
        <v>90</v>
      </c>
      <c r="C3" s="1">
        <v>65</v>
      </c>
      <c r="D3" s="1">
        <v>10</v>
      </c>
      <c r="E3" s="1">
        <v>47</v>
      </c>
      <c r="F3">
        <f>SUM(B3:E3)</f>
        <v>212</v>
      </c>
      <c r="G3" s="3">
        <f>F3/400</f>
        <v>0.53</v>
      </c>
      <c r="H3" s="3">
        <f>F3/$E$1</f>
        <v>0.53</v>
      </c>
      <c r="I3" s="3"/>
    </row>
    <row r="4" spans="1:9" x14ac:dyDescent="0.35">
      <c r="A4" s="1" t="s">
        <v>77</v>
      </c>
      <c r="B4" s="1">
        <v>17</v>
      </c>
      <c r="C4" s="1">
        <v>84</v>
      </c>
      <c r="D4" s="1">
        <v>78</v>
      </c>
      <c r="E4" s="1">
        <v>49</v>
      </c>
      <c r="F4">
        <f t="shared" ref="F4:F12" si="0">SUM(B4:E4)</f>
        <v>228</v>
      </c>
      <c r="G4" s="3">
        <f t="shared" ref="G4:G12" si="1">F4/400</f>
        <v>0.56999999999999995</v>
      </c>
      <c r="H4" s="3">
        <f t="shared" ref="H4:H12" si="2">F4/$E$1</f>
        <v>0.56999999999999995</v>
      </c>
      <c r="I4" s="3"/>
    </row>
    <row r="5" spans="1:9" x14ac:dyDescent="0.35">
      <c r="A5" s="1" t="s">
        <v>3</v>
      </c>
      <c r="B5" s="1">
        <v>35</v>
      </c>
      <c r="C5" s="1">
        <v>64</v>
      </c>
      <c r="D5" s="1">
        <v>43</v>
      </c>
      <c r="E5" s="1">
        <v>33</v>
      </c>
      <c r="F5">
        <f t="shared" si="0"/>
        <v>175</v>
      </c>
      <c r="G5" s="3">
        <f t="shared" si="1"/>
        <v>0.4375</v>
      </c>
      <c r="H5" s="3">
        <f t="shared" si="2"/>
        <v>0.4375</v>
      </c>
      <c r="I5" s="3"/>
    </row>
    <row r="6" spans="1:9" x14ac:dyDescent="0.35">
      <c r="A6" s="1" t="s">
        <v>4</v>
      </c>
      <c r="B6" s="1">
        <v>83</v>
      </c>
      <c r="C6" s="1">
        <v>32</v>
      </c>
      <c r="D6" s="1" t="s">
        <v>13</v>
      </c>
      <c r="E6" s="1">
        <v>18</v>
      </c>
      <c r="F6">
        <f t="shared" si="0"/>
        <v>133</v>
      </c>
      <c r="G6" s="3">
        <f t="shared" si="1"/>
        <v>0.33250000000000002</v>
      </c>
      <c r="H6" s="3">
        <f t="shared" si="2"/>
        <v>0.33250000000000002</v>
      </c>
      <c r="I6" s="3"/>
    </row>
    <row r="7" spans="1:9" x14ac:dyDescent="0.35">
      <c r="A7" s="1" t="s">
        <v>5</v>
      </c>
      <c r="B7" s="1">
        <v>74</v>
      </c>
      <c r="C7" s="1">
        <v>56</v>
      </c>
      <c r="D7" s="1">
        <v>27</v>
      </c>
      <c r="E7" s="1">
        <v>32</v>
      </c>
      <c r="F7">
        <f t="shared" si="0"/>
        <v>189</v>
      </c>
      <c r="G7" s="3">
        <f t="shared" si="1"/>
        <v>0.47249999999999998</v>
      </c>
      <c r="H7" s="3">
        <f t="shared" si="2"/>
        <v>0.47249999999999998</v>
      </c>
      <c r="I7" s="3"/>
    </row>
    <row r="8" spans="1:9" x14ac:dyDescent="0.35">
      <c r="A8" s="1" t="s">
        <v>6</v>
      </c>
      <c r="B8" s="1">
        <v>34</v>
      </c>
      <c r="C8" s="1">
        <v>63</v>
      </c>
      <c r="D8" s="1">
        <v>73</v>
      </c>
      <c r="E8" s="1">
        <v>87</v>
      </c>
      <c r="F8">
        <f t="shared" si="0"/>
        <v>257</v>
      </c>
      <c r="G8" s="3">
        <f t="shared" si="1"/>
        <v>0.64249999999999996</v>
      </c>
      <c r="H8" s="3">
        <f t="shared" si="2"/>
        <v>0.64249999999999996</v>
      </c>
      <c r="I8" s="3"/>
    </row>
    <row r="9" spans="1:9" x14ac:dyDescent="0.35">
      <c r="A9" s="1" t="s">
        <v>7</v>
      </c>
      <c r="B9" s="1">
        <v>34</v>
      </c>
      <c r="C9" s="1">
        <v>89</v>
      </c>
      <c r="D9" s="1">
        <v>67</v>
      </c>
      <c r="E9" s="1">
        <v>51</v>
      </c>
      <c r="F9">
        <f t="shared" si="0"/>
        <v>241</v>
      </c>
      <c r="G9" s="3">
        <f t="shared" si="1"/>
        <v>0.60250000000000004</v>
      </c>
      <c r="H9" s="3">
        <f t="shared" si="2"/>
        <v>0.60250000000000004</v>
      </c>
      <c r="I9" s="3"/>
    </row>
    <row r="10" spans="1:9" x14ac:dyDescent="0.35">
      <c r="A10" s="1" t="s">
        <v>8</v>
      </c>
      <c r="B10" s="1">
        <v>65</v>
      </c>
      <c r="C10" s="1">
        <v>24</v>
      </c>
      <c r="D10" s="1">
        <v>54</v>
      </c>
      <c r="E10" s="1">
        <v>0</v>
      </c>
      <c r="F10">
        <f t="shared" si="0"/>
        <v>143</v>
      </c>
      <c r="G10" s="3">
        <f t="shared" si="1"/>
        <v>0.35749999999999998</v>
      </c>
      <c r="H10" s="3">
        <f t="shared" si="2"/>
        <v>0.35749999999999998</v>
      </c>
      <c r="I10" s="3"/>
    </row>
    <row r="11" spans="1:9" x14ac:dyDescent="0.35">
      <c r="A11" s="1" t="s">
        <v>9</v>
      </c>
      <c r="B11" s="1">
        <v>61</v>
      </c>
      <c r="C11" s="1">
        <v>13</v>
      </c>
      <c r="D11" s="1">
        <v>67</v>
      </c>
      <c r="E11" s="1">
        <v>60</v>
      </c>
      <c r="F11">
        <f t="shared" si="0"/>
        <v>201</v>
      </c>
      <c r="G11" s="3">
        <f t="shared" si="1"/>
        <v>0.50249999999999995</v>
      </c>
      <c r="H11" s="3">
        <f t="shared" si="2"/>
        <v>0.50249999999999995</v>
      </c>
      <c r="I11" s="3"/>
    </row>
    <row r="12" spans="1:9" x14ac:dyDescent="0.35">
      <c r="A12" s="1" t="s">
        <v>10</v>
      </c>
      <c r="B12" s="1">
        <v>82</v>
      </c>
      <c r="C12" s="1">
        <v>82</v>
      </c>
      <c r="D12" s="1">
        <v>75</v>
      </c>
      <c r="E12" s="1">
        <v>25</v>
      </c>
      <c r="F12">
        <f t="shared" si="0"/>
        <v>264</v>
      </c>
      <c r="G12" s="3">
        <f t="shared" si="1"/>
        <v>0.66</v>
      </c>
      <c r="H12" s="3">
        <f t="shared" si="2"/>
        <v>0.66</v>
      </c>
      <c r="I12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2886F-A0AE-4DCC-92C9-ED69422A0C52}">
  <dimension ref="A1:J35"/>
  <sheetViews>
    <sheetView topLeftCell="A14" workbookViewId="0">
      <selection activeCell="D36" sqref="D36"/>
    </sheetView>
  </sheetViews>
  <sheetFormatPr defaultRowHeight="14.5" x14ac:dyDescent="0.35"/>
  <cols>
    <col min="1" max="2" width="10.453125" bestFit="1" customWidth="1"/>
    <col min="4" max="4" width="10.453125" bestFit="1" customWidth="1"/>
    <col min="6" max="6" width="12" bestFit="1" customWidth="1"/>
    <col min="7" max="7" width="11.54296875" bestFit="1" customWidth="1"/>
    <col min="8" max="8" width="10.81640625" bestFit="1" customWidth="1"/>
    <col min="9" max="9" width="14.26953125" bestFit="1" customWidth="1"/>
  </cols>
  <sheetData>
    <row r="1" spans="1:2" x14ac:dyDescent="0.35">
      <c r="A1" s="15" t="s">
        <v>78</v>
      </c>
      <c r="B1" s="15"/>
    </row>
    <row r="2" spans="1:2" x14ac:dyDescent="0.35">
      <c r="A2" s="7">
        <v>46145</v>
      </c>
      <c r="B2">
        <f>DAY(A2)</f>
        <v>3</v>
      </c>
    </row>
    <row r="3" spans="1:2" x14ac:dyDescent="0.35">
      <c r="A3" s="7">
        <v>35949</v>
      </c>
      <c r="B3">
        <f t="shared" ref="B3:B5" si="0">DAY(A3)</f>
        <v>3</v>
      </c>
    </row>
    <row r="4" spans="1:2" x14ac:dyDescent="0.35">
      <c r="A4" s="7">
        <v>37380</v>
      </c>
      <c r="B4">
        <f t="shared" si="0"/>
        <v>4</v>
      </c>
    </row>
    <row r="5" spans="1:2" x14ac:dyDescent="0.35">
      <c r="A5" s="7">
        <v>36954</v>
      </c>
      <c r="B5">
        <f t="shared" si="0"/>
        <v>4</v>
      </c>
    </row>
    <row r="9" spans="1:2" x14ac:dyDescent="0.35">
      <c r="A9" s="15" t="s">
        <v>63</v>
      </c>
      <c r="B9" s="15"/>
    </row>
    <row r="10" spans="1:2" x14ac:dyDescent="0.35">
      <c r="A10" s="7">
        <v>46145</v>
      </c>
      <c r="B10">
        <f>MONTH(A10)</f>
        <v>5</v>
      </c>
    </row>
    <row r="11" spans="1:2" x14ac:dyDescent="0.35">
      <c r="A11" s="7">
        <v>35949</v>
      </c>
      <c r="B11">
        <f t="shared" ref="B11:B13" si="1">MONTH(A11)</f>
        <v>6</v>
      </c>
    </row>
    <row r="12" spans="1:2" x14ac:dyDescent="0.35">
      <c r="A12" s="7">
        <v>37380</v>
      </c>
      <c r="B12">
        <f t="shared" si="1"/>
        <v>5</v>
      </c>
    </row>
    <row r="13" spans="1:2" x14ac:dyDescent="0.35">
      <c r="A13" s="7">
        <v>36954</v>
      </c>
      <c r="B13">
        <f t="shared" si="1"/>
        <v>3</v>
      </c>
    </row>
    <row r="16" spans="1:2" x14ac:dyDescent="0.35">
      <c r="A16" s="15" t="s">
        <v>79</v>
      </c>
      <c r="B16" s="15"/>
    </row>
    <row r="17" spans="1:10" x14ac:dyDescent="0.35">
      <c r="A17" s="7">
        <v>46145</v>
      </c>
      <c r="B17">
        <f>YEAR(A17)</f>
        <v>2026</v>
      </c>
    </row>
    <row r="18" spans="1:10" x14ac:dyDescent="0.35">
      <c r="A18" s="7">
        <v>35949</v>
      </c>
      <c r="B18">
        <f t="shared" ref="B18:B20" si="2">YEAR(A18)</f>
        <v>1998</v>
      </c>
    </row>
    <row r="19" spans="1:10" x14ac:dyDescent="0.35">
      <c r="A19" s="7">
        <v>37380</v>
      </c>
      <c r="B19">
        <f t="shared" si="2"/>
        <v>2002</v>
      </c>
    </row>
    <row r="20" spans="1:10" x14ac:dyDescent="0.35">
      <c r="A20" s="7">
        <v>36954</v>
      </c>
      <c r="B20">
        <f t="shared" si="2"/>
        <v>2001</v>
      </c>
    </row>
    <row r="23" spans="1:10" x14ac:dyDescent="0.35">
      <c r="A23" s="16" t="s">
        <v>80</v>
      </c>
      <c r="B23" s="16" t="s">
        <v>81</v>
      </c>
      <c r="C23" s="16" t="s">
        <v>62</v>
      </c>
      <c r="D23" s="16" t="s">
        <v>82</v>
      </c>
      <c r="E23" s="16" t="s">
        <v>83</v>
      </c>
      <c r="F23" s="16" t="s">
        <v>84</v>
      </c>
      <c r="G23" s="16" t="s">
        <v>85</v>
      </c>
      <c r="H23" s="16" t="s">
        <v>86</v>
      </c>
      <c r="I23" s="16" t="s">
        <v>87</v>
      </c>
      <c r="J23" s="16"/>
    </row>
    <row r="24" spans="1:10" x14ac:dyDescent="0.35">
      <c r="A24" s="7">
        <v>45604</v>
      </c>
      <c r="B24" s="7">
        <v>45646</v>
      </c>
      <c r="C24">
        <f>_xlfn.DAYS(B24,A24)</f>
        <v>42</v>
      </c>
      <c r="D24" s="7">
        <v>45385</v>
      </c>
      <c r="E24">
        <f>DAYS360(A24,B24)</f>
        <v>42</v>
      </c>
      <c r="F24">
        <f>NETWORKDAYS(A24,B24)</f>
        <v>31</v>
      </c>
      <c r="G24">
        <f>NETWORKDAYS(A24,B24,D24)</f>
        <v>31</v>
      </c>
      <c r="H24">
        <f>NETWORKDAYS.INTL(A24,B24,)</f>
        <v>31</v>
      </c>
      <c r="I24">
        <f>NETWORKDAYS.INTL(A24,B24,11,D24)</f>
        <v>37</v>
      </c>
    </row>
    <row r="25" spans="1:10" x14ac:dyDescent="0.35">
      <c r="A25" s="7">
        <v>45342</v>
      </c>
      <c r="B25" s="7">
        <v>45562</v>
      </c>
      <c r="C25">
        <f t="shared" ref="C25:C27" si="3">_xlfn.DAYS(B25,A25)</f>
        <v>220</v>
      </c>
      <c r="D25" s="7">
        <v>45428</v>
      </c>
      <c r="E25">
        <f t="shared" ref="E25:E27" si="4">DAYS360(A25,B25)</f>
        <v>217</v>
      </c>
      <c r="F25">
        <f t="shared" ref="F25:F27" si="5">NETWORKDAYS(A25,B25)</f>
        <v>159</v>
      </c>
      <c r="G25">
        <f t="shared" ref="G25:G27" si="6">NETWORKDAYS(A25,B25,D25)</f>
        <v>158</v>
      </c>
      <c r="H25">
        <f t="shared" ref="H25:H27" si="7">NETWORKDAYS.INTL(A25,B25,)</f>
        <v>159</v>
      </c>
      <c r="I25">
        <f t="shared" ref="I25:I27" si="8">NETWORKDAYS.INTL(A25,B25,11,D25)</f>
        <v>189</v>
      </c>
    </row>
    <row r="26" spans="1:10" x14ac:dyDescent="0.35">
      <c r="A26" s="7">
        <v>46115</v>
      </c>
      <c r="B26" s="7">
        <v>46144</v>
      </c>
      <c r="C26">
        <f t="shared" si="3"/>
        <v>29</v>
      </c>
      <c r="D26" s="7">
        <v>46120</v>
      </c>
      <c r="E26">
        <f t="shared" si="4"/>
        <v>29</v>
      </c>
      <c r="F26">
        <f t="shared" si="5"/>
        <v>21</v>
      </c>
      <c r="G26">
        <f t="shared" si="6"/>
        <v>20</v>
      </c>
      <c r="H26">
        <f t="shared" si="7"/>
        <v>21</v>
      </c>
      <c r="I26">
        <f t="shared" si="8"/>
        <v>25</v>
      </c>
    </row>
    <row r="27" spans="1:10" x14ac:dyDescent="0.35">
      <c r="A27" s="7">
        <v>46077</v>
      </c>
      <c r="B27" s="7">
        <v>46082</v>
      </c>
      <c r="C27">
        <f t="shared" si="3"/>
        <v>5</v>
      </c>
      <c r="D27" s="7">
        <v>46078</v>
      </c>
      <c r="E27">
        <f t="shared" si="4"/>
        <v>7</v>
      </c>
      <c r="F27">
        <f t="shared" si="5"/>
        <v>4</v>
      </c>
      <c r="G27">
        <f t="shared" si="6"/>
        <v>3</v>
      </c>
      <c r="H27">
        <f t="shared" si="7"/>
        <v>4</v>
      </c>
      <c r="I27">
        <f t="shared" si="8"/>
        <v>4</v>
      </c>
    </row>
    <row r="31" spans="1:10" x14ac:dyDescent="0.35">
      <c r="A31" s="6" t="s">
        <v>69</v>
      </c>
      <c r="B31" s="6" t="s">
        <v>88</v>
      </c>
      <c r="C31" s="6" t="s">
        <v>89</v>
      </c>
      <c r="D31" s="6" t="s">
        <v>90</v>
      </c>
    </row>
    <row r="32" spans="1:10" x14ac:dyDescent="0.35">
      <c r="A32" s="17">
        <v>0.38255787037037037</v>
      </c>
      <c r="B32">
        <f>HOUR(A32)</f>
        <v>9</v>
      </c>
      <c r="C32">
        <f>MINUTE(A32)</f>
        <v>10</v>
      </c>
      <c r="D32">
        <f>SECOND(A32)</f>
        <v>53</v>
      </c>
    </row>
    <row r="33" spans="1:4" x14ac:dyDescent="0.35">
      <c r="A33" s="17">
        <v>0.92321759259259262</v>
      </c>
      <c r="B33">
        <f t="shared" ref="B33:B35" si="9">HOUR(A33)</f>
        <v>22</v>
      </c>
      <c r="C33">
        <f t="shared" ref="C33:C35" si="10">MINUTE(A33)</f>
        <v>9</v>
      </c>
      <c r="D33">
        <f t="shared" ref="D33:D35" si="11">SECOND(A33)</f>
        <v>26</v>
      </c>
    </row>
    <row r="34" spans="1:4" x14ac:dyDescent="0.35">
      <c r="A34" s="17">
        <v>0.43896990740740743</v>
      </c>
      <c r="B34">
        <f t="shared" si="9"/>
        <v>10</v>
      </c>
      <c r="C34">
        <f t="shared" si="10"/>
        <v>32</v>
      </c>
      <c r="D34">
        <f t="shared" si="11"/>
        <v>7</v>
      </c>
    </row>
    <row r="35" spans="1:4" x14ac:dyDescent="0.35">
      <c r="A35" s="17">
        <v>0.2528125</v>
      </c>
      <c r="B35">
        <f t="shared" si="9"/>
        <v>6</v>
      </c>
      <c r="C35">
        <f t="shared" si="10"/>
        <v>4</v>
      </c>
      <c r="D35">
        <f t="shared" si="11"/>
        <v>3</v>
      </c>
    </row>
  </sheetData>
  <mergeCells count="3">
    <mergeCell ref="A1:B1"/>
    <mergeCell ref="A9:B9"/>
    <mergeCell ref="A16:B1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F524F-2F36-451C-8892-D37C6C6A997B}">
  <dimension ref="A1:J30"/>
  <sheetViews>
    <sheetView zoomScale="80" workbookViewId="0">
      <selection activeCell="J2" sqref="J2"/>
    </sheetView>
  </sheetViews>
  <sheetFormatPr defaultRowHeight="14.5" x14ac:dyDescent="0.35"/>
  <cols>
    <col min="1" max="1" width="12.36328125" bestFit="1" customWidth="1"/>
    <col min="2" max="2" width="9.90625" bestFit="1" customWidth="1"/>
    <col min="3" max="3" width="17.08984375" bestFit="1" customWidth="1"/>
    <col min="4" max="4" width="12.26953125" bestFit="1" customWidth="1"/>
    <col min="6" max="6" width="10.1796875" bestFit="1" customWidth="1"/>
    <col min="10" max="10" width="13" bestFit="1" customWidth="1"/>
  </cols>
  <sheetData>
    <row r="1" spans="1:10" x14ac:dyDescent="0.35">
      <c r="A1" s="2" t="s">
        <v>0</v>
      </c>
      <c r="B1" s="2" t="s">
        <v>11</v>
      </c>
      <c r="C1" s="2" t="s">
        <v>12</v>
      </c>
      <c r="D1" s="2" t="s">
        <v>14</v>
      </c>
      <c r="E1" s="2" t="s">
        <v>15</v>
      </c>
      <c r="F1" s="2" t="s">
        <v>16</v>
      </c>
      <c r="G1" s="2" t="s">
        <v>23</v>
      </c>
      <c r="H1" s="2" t="s">
        <v>91</v>
      </c>
      <c r="I1" s="2" t="s">
        <v>121</v>
      </c>
      <c r="J1" s="2" t="s">
        <v>122</v>
      </c>
    </row>
    <row r="2" spans="1:10" x14ac:dyDescent="0.35">
      <c r="A2" s="1" t="s">
        <v>4</v>
      </c>
      <c r="B2" s="1">
        <v>83</v>
      </c>
      <c r="C2" s="1">
        <v>97</v>
      </c>
      <c r="D2" s="1">
        <v>98</v>
      </c>
      <c r="E2" s="1">
        <v>98</v>
      </c>
      <c r="F2">
        <f>SUM(B2:E2)</f>
        <v>376</v>
      </c>
      <c r="G2" s="3">
        <f>F2/400</f>
        <v>0.94</v>
      </c>
      <c r="H2" t="str">
        <f>IF(G2&gt;50%,"pass","fail")</f>
        <v>pass</v>
      </c>
      <c r="I2" t="str">
        <f>IF(G2&gt;=80%,"A+",IF(G2&gt;=70%,"A",IF(G2&gt;=60%,"B",IF(G2&gt;=50%,"C","fail"))))</f>
        <v>A+</v>
      </c>
      <c r="J2">
        <f>RANK(F2,$F$2:$F$11,0)</f>
        <v>1</v>
      </c>
    </row>
    <row r="3" spans="1:10" x14ac:dyDescent="0.35">
      <c r="A3" s="1" t="s">
        <v>10</v>
      </c>
      <c r="B3" s="1">
        <v>82</v>
      </c>
      <c r="C3" s="1">
        <v>82</v>
      </c>
      <c r="D3" s="1">
        <v>75</v>
      </c>
      <c r="E3" s="1">
        <v>25</v>
      </c>
      <c r="F3">
        <f>SUM(B3:E3)</f>
        <v>264</v>
      </c>
      <c r="G3" s="3">
        <f>F3/400</f>
        <v>0.66</v>
      </c>
      <c r="H3" t="str">
        <f>IF(G3&gt;50%,"pass","fail")</f>
        <v>pass</v>
      </c>
      <c r="I3" t="str">
        <f>IF(G3&gt;=80%,"A+",IF(G3&gt;=70%,"A",IF(G3&gt;=60%,"B",IF(G3&gt;=50%,"C","fail"))))</f>
        <v>B</v>
      </c>
      <c r="J3">
        <f>RANK(F3,$F$2:$F$11,0)</f>
        <v>2</v>
      </c>
    </row>
    <row r="4" spans="1:10" x14ac:dyDescent="0.35">
      <c r="A4" s="1" t="s">
        <v>6</v>
      </c>
      <c r="B4" s="1">
        <v>34</v>
      </c>
      <c r="C4" s="1">
        <v>63</v>
      </c>
      <c r="D4" s="1">
        <v>73</v>
      </c>
      <c r="E4" s="1">
        <v>87</v>
      </c>
      <c r="F4">
        <f>SUM(B4:E4)</f>
        <v>257</v>
      </c>
      <c r="G4" s="3">
        <f>F4/400</f>
        <v>0.64249999999999996</v>
      </c>
      <c r="H4" t="str">
        <f>IF(G4&gt;50%,"pass","fail")</f>
        <v>pass</v>
      </c>
      <c r="I4" t="str">
        <f>IF(G4&gt;=80%,"A+",IF(G4&gt;=70%,"A",IF(G4&gt;=60%,"B",IF(G4&gt;=50%,"C","fail"))))</f>
        <v>B</v>
      </c>
      <c r="J4">
        <f>RANK(F4,$F$2:$F$11,0)</f>
        <v>3</v>
      </c>
    </row>
    <row r="5" spans="1:10" x14ac:dyDescent="0.35">
      <c r="A5" s="1" t="s">
        <v>7</v>
      </c>
      <c r="B5" s="1">
        <v>34</v>
      </c>
      <c r="C5" s="1">
        <v>89</v>
      </c>
      <c r="D5" s="1">
        <v>67</v>
      </c>
      <c r="E5" s="1">
        <v>51</v>
      </c>
      <c r="F5">
        <f>SUM(B5:E5)</f>
        <v>241</v>
      </c>
      <c r="G5" s="3">
        <f>F5/400</f>
        <v>0.60250000000000004</v>
      </c>
      <c r="H5" t="str">
        <f>IF(G5&gt;50%,"pass","fail")</f>
        <v>pass</v>
      </c>
      <c r="I5" t="str">
        <f>IF(G5&gt;=80%,"A+",IF(G5&gt;=70%,"A",IF(G5&gt;=60%,"B",IF(G5&gt;=50%,"C","fail"))))</f>
        <v>B</v>
      </c>
      <c r="J5">
        <f>RANK(F5,$F$2:$F$11,0)</f>
        <v>4</v>
      </c>
    </row>
    <row r="6" spans="1:10" x14ac:dyDescent="0.35">
      <c r="A6" s="1" t="s">
        <v>77</v>
      </c>
      <c r="B6" s="1">
        <v>17</v>
      </c>
      <c r="C6" s="1">
        <v>84</v>
      </c>
      <c r="D6" s="1">
        <v>78</v>
      </c>
      <c r="E6" s="1">
        <v>49</v>
      </c>
      <c r="F6">
        <f>SUM(B6:E6)</f>
        <v>228</v>
      </c>
      <c r="G6" s="3">
        <f>F6/400</f>
        <v>0.56999999999999995</v>
      </c>
      <c r="H6" t="str">
        <f>IF(G6&gt;50%,"pass","fail")</f>
        <v>pass</v>
      </c>
      <c r="I6" t="str">
        <f>IF(G6&gt;=80%,"A+",IF(G6&gt;=70%,"A",IF(G6&gt;=60%,"B",IF(G6&gt;=50%,"C","fail"))))</f>
        <v>C</v>
      </c>
      <c r="J6">
        <f>RANK(F6,$F$2:$F$11,0)</f>
        <v>5</v>
      </c>
    </row>
    <row r="7" spans="1:10" x14ac:dyDescent="0.35">
      <c r="A7" s="1" t="s">
        <v>1</v>
      </c>
      <c r="B7" s="1">
        <v>90</v>
      </c>
      <c r="C7" s="1">
        <v>65</v>
      </c>
      <c r="D7" s="1">
        <v>10</v>
      </c>
      <c r="E7" s="1">
        <v>47</v>
      </c>
      <c r="F7">
        <f>SUM(B7:E7)</f>
        <v>212</v>
      </c>
      <c r="G7" s="3">
        <f>F7/400</f>
        <v>0.53</v>
      </c>
      <c r="H7" t="str">
        <f>IF(G7&gt;50%,"pass","fail")</f>
        <v>pass</v>
      </c>
      <c r="I7" t="str">
        <f>IF(G7&gt;=80%,"A+",IF(G7&gt;=70%,"A",IF(G7&gt;=60%,"B",IF(G7&gt;=50%,"C","fail"))))</f>
        <v>C</v>
      </c>
      <c r="J7">
        <f>RANK(F7,$F$2:$F$11,0)</f>
        <v>6</v>
      </c>
    </row>
    <row r="8" spans="1:10" x14ac:dyDescent="0.35">
      <c r="A8" s="1" t="s">
        <v>9</v>
      </c>
      <c r="B8" s="1">
        <v>61</v>
      </c>
      <c r="C8" s="1">
        <v>13</v>
      </c>
      <c r="D8" s="1">
        <v>67</v>
      </c>
      <c r="E8" s="1">
        <v>60</v>
      </c>
      <c r="F8">
        <f>SUM(B8:E8)</f>
        <v>201</v>
      </c>
      <c r="G8" s="3">
        <f>F8/400</f>
        <v>0.50249999999999995</v>
      </c>
      <c r="H8" t="str">
        <f>IF(G8&gt;50%,"pass","fail")</f>
        <v>pass</v>
      </c>
      <c r="I8" t="str">
        <f>IF(G8&gt;=80%,"A+",IF(G8&gt;=70%,"A",IF(G8&gt;=60%,"B",IF(G8&gt;=50%,"C","fail"))))</f>
        <v>C</v>
      </c>
      <c r="J8">
        <f>RANK(F8,$F$2:$F$11,0)</f>
        <v>7</v>
      </c>
    </row>
    <row r="9" spans="1:10" x14ac:dyDescent="0.35">
      <c r="A9" s="1" t="s">
        <v>5</v>
      </c>
      <c r="B9" s="1">
        <v>74</v>
      </c>
      <c r="C9" s="1">
        <v>56</v>
      </c>
      <c r="D9" s="1">
        <v>27</v>
      </c>
      <c r="E9" s="1">
        <v>32</v>
      </c>
      <c r="F9">
        <f>SUM(B9:E9)</f>
        <v>189</v>
      </c>
      <c r="G9" s="3">
        <f>F9/400</f>
        <v>0.47249999999999998</v>
      </c>
      <c r="H9" t="str">
        <f>IF(G9&gt;50%,"pass","fail")</f>
        <v>fail</v>
      </c>
      <c r="I9" t="str">
        <f>IF(G9&gt;=80%,"A+",IF(G9&gt;=70%,"A",IF(G9&gt;=60%,"B",IF(G9&gt;=50%,"C","fail"))))</f>
        <v>fail</v>
      </c>
      <c r="J9">
        <f>RANK(F9,$F$2:$F$11,0)</f>
        <v>8</v>
      </c>
    </row>
    <row r="10" spans="1:10" x14ac:dyDescent="0.35">
      <c r="A10" s="1" t="s">
        <v>3</v>
      </c>
      <c r="B10" s="1">
        <v>35</v>
      </c>
      <c r="C10" s="1">
        <v>64</v>
      </c>
      <c r="D10" s="1">
        <v>43</v>
      </c>
      <c r="E10" s="1">
        <v>33</v>
      </c>
      <c r="F10">
        <f>SUM(B10:E10)</f>
        <v>175</v>
      </c>
      <c r="G10" s="3">
        <f>F10/400</f>
        <v>0.4375</v>
      </c>
      <c r="H10" t="str">
        <f>IF(G10&gt;50%,"pass","fail")</f>
        <v>fail</v>
      </c>
      <c r="I10" t="str">
        <f>IF(G10&gt;=80%,"A+",IF(G10&gt;=70%,"A",IF(G10&gt;=60%,"B",IF(G10&gt;=50%,"C","fail"))))</f>
        <v>fail</v>
      </c>
      <c r="J10">
        <f>RANK(F10,$F$2:$F$11,0)</f>
        <v>9</v>
      </c>
    </row>
    <row r="11" spans="1:10" x14ac:dyDescent="0.35">
      <c r="A11" s="1" t="s">
        <v>8</v>
      </c>
      <c r="B11" s="1">
        <v>65</v>
      </c>
      <c r="C11" s="1">
        <v>24</v>
      </c>
      <c r="D11" s="1">
        <v>54</v>
      </c>
      <c r="E11" s="1">
        <v>0</v>
      </c>
      <c r="F11">
        <f>SUM(B11:E11)</f>
        <v>143</v>
      </c>
      <c r="G11" s="3">
        <f>F11/400</f>
        <v>0.35749999999999998</v>
      </c>
      <c r="H11" t="str">
        <f>IF(G11&gt;50%,"pass","fail")</f>
        <v>fail</v>
      </c>
      <c r="I11" t="str">
        <f>IF(G11&gt;=80%,"A+",IF(G11&gt;=70%,"A",IF(G11&gt;=60%,"B",IF(G11&gt;=50%,"C","fail"))))</f>
        <v>fail</v>
      </c>
      <c r="J11">
        <f>RANK(F11,$F$2:$F$11,0)</f>
        <v>10</v>
      </c>
    </row>
    <row r="14" spans="1:10" x14ac:dyDescent="0.35">
      <c r="A14" s="8" t="s">
        <v>92</v>
      </c>
      <c r="B14" s="6" t="s">
        <v>93</v>
      </c>
      <c r="C14" s="6" t="s">
        <v>94</v>
      </c>
    </row>
    <row r="15" spans="1:10" x14ac:dyDescent="0.35">
      <c r="A15" s="1" t="s">
        <v>95</v>
      </c>
      <c r="B15">
        <v>10000</v>
      </c>
      <c r="C15" t="str">
        <f>IF(B15="","pending","received")</f>
        <v>received</v>
      </c>
    </row>
    <row r="16" spans="1:10" x14ac:dyDescent="0.35">
      <c r="A16" s="1" t="s">
        <v>96</v>
      </c>
      <c r="C16" t="str">
        <f t="shared" ref="C16:C22" si="0">IF(B16="","pending","received")</f>
        <v>pending</v>
      </c>
    </row>
    <row r="17" spans="1:6" x14ac:dyDescent="0.35">
      <c r="A17" s="1" t="s">
        <v>97</v>
      </c>
      <c r="B17">
        <v>200</v>
      </c>
      <c r="C17" t="str">
        <f t="shared" si="0"/>
        <v>received</v>
      </c>
    </row>
    <row r="18" spans="1:6" x14ac:dyDescent="0.35">
      <c r="A18" s="1" t="s">
        <v>98</v>
      </c>
      <c r="C18" t="str">
        <f t="shared" si="0"/>
        <v>pending</v>
      </c>
    </row>
    <row r="19" spans="1:6" x14ac:dyDescent="0.35">
      <c r="A19" s="1" t="s">
        <v>99</v>
      </c>
      <c r="C19" t="str">
        <f t="shared" si="0"/>
        <v>pending</v>
      </c>
    </row>
    <row r="20" spans="1:6" x14ac:dyDescent="0.35">
      <c r="A20" s="1" t="s">
        <v>100</v>
      </c>
      <c r="B20">
        <v>63000</v>
      </c>
      <c r="C20" t="str">
        <f t="shared" si="0"/>
        <v>received</v>
      </c>
    </row>
    <row r="21" spans="1:6" x14ac:dyDescent="0.35">
      <c r="A21" s="1" t="s">
        <v>101</v>
      </c>
      <c r="C21" t="str">
        <f t="shared" si="0"/>
        <v>pending</v>
      </c>
    </row>
    <row r="22" spans="1:6" x14ac:dyDescent="0.35">
      <c r="A22" s="1" t="s">
        <v>102</v>
      </c>
      <c r="B22">
        <v>52000</v>
      </c>
      <c r="C22" t="str">
        <f t="shared" si="0"/>
        <v>received</v>
      </c>
    </row>
    <row r="25" spans="1:6" x14ac:dyDescent="0.35">
      <c r="A25" s="8" t="s">
        <v>103</v>
      </c>
      <c r="B25" s="6" t="s">
        <v>109</v>
      </c>
      <c r="C25" s="6" t="s">
        <v>110</v>
      </c>
      <c r="D25" s="6" t="s">
        <v>111</v>
      </c>
      <c r="F25" s="6" t="s">
        <v>134</v>
      </c>
    </row>
    <row r="26" spans="1:6" x14ac:dyDescent="0.35">
      <c r="A26" s="1" t="s">
        <v>104</v>
      </c>
      <c r="B26">
        <v>6</v>
      </c>
      <c r="C26">
        <v>5</v>
      </c>
      <c r="D26" t="b">
        <f>OR(B26&gt;=5,C26&gt;=4)</f>
        <v>1</v>
      </c>
      <c r="F26" t="s">
        <v>135</v>
      </c>
    </row>
    <row r="27" spans="1:6" x14ac:dyDescent="0.35">
      <c r="A27" s="1" t="s">
        <v>105</v>
      </c>
      <c r="B27">
        <v>6</v>
      </c>
      <c r="C27">
        <v>4.0999999999999996</v>
      </c>
      <c r="D27" t="b">
        <f t="shared" ref="D27:D30" si="1">OR(B27&gt;=5,C27&gt;=4)</f>
        <v>1</v>
      </c>
    </row>
    <row r="28" spans="1:6" x14ac:dyDescent="0.35">
      <c r="A28" s="1" t="s">
        <v>106</v>
      </c>
      <c r="B28">
        <v>3</v>
      </c>
      <c r="C28">
        <v>3.8</v>
      </c>
      <c r="D28" t="b">
        <f t="shared" si="1"/>
        <v>0</v>
      </c>
    </row>
    <row r="29" spans="1:6" x14ac:dyDescent="0.35">
      <c r="A29" s="1" t="s">
        <v>107</v>
      </c>
      <c r="B29">
        <v>7</v>
      </c>
      <c r="C29">
        <v>4.2</v>
      </c>
      <c r="D29" t="b">
        <f t="shared" si="1"/>
        <v>1</v>
      </c>
    </row>
    <row r="30" spans="1:6" x14ac:dyDescent="0.35">
      <c r="A30" s="1" t="s">
        <v>108</v>
      </c>
      <c r="B30">
        <v>2</v>
      </c>
      <c r="C30">
        <v>4</v>
      </c>
      <c r="D30" t="b">
        <f>OR(B30&gt;=5,C30&gt;=4)</f>
        <v>1</v>
      </c>
    </row>
  </sheetData>
  <autoFilter ref="A1:J11" xr:uid="{F35F524F-2F36-451C-8892-D37C6C6A997B}">
    <sortState xmlns:xlrd2="http://schemas.microsoft.com/office/spreadsheetml/2017/richdata2" ref="A2:J11">
      <sortCondition ref="J1:J11"/>
    </sortState>
  </autoFilter>
  <sortState xmlns:xlrd2="http://schemas.microsoft.com/office/spreadsheetml/2017/richdata2" ref="J2:J11">
    <sortCondition ref="J2:J1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511C1-4F4A-4D38-B102-B4DB0B8E787E}">
  <dimension ref="A1:D8"/>
  <sheetViews>
    <sheetView workbookViewId="0">
      <selection activeCell="G9" sqref="G9"/>
    </sheetView>
  </sheetViews>
  <sheetFormatPr defaultRowHeight="14.5" x14ac:dyDescent="0.35"/>
  <cols>
    <col min="1" max="1" width="9.81640625" bestFit="1" customWidth="1"/>
    <col min="3" max="3" width="8.08984375" bestFit="1" customWidth="1"/>
    <col min="4" max="4" width="10.6328125" bestFit="1" customWidth="1"/>
  </cols>
  <sheetData>
    <row r="1" spans="1:4" x14ac:dyDescent="0.35">
      <c r="A1" s="6" t="s">
        <v>123</v>
      </c>
      <c r="B1" s="6" t="s">
        <v>124</v>
      </c>
      <c r="C1" s="6" t="s">
        <v>125</v>
      </c>
      <c r="D1" s="6" t="s">
        <v>126</v>
      </c>
    </row>
    <row r="2" spans="1:4" x14ac:dyDescent="0.35">
      <c r="A2">
        <v>1000.3692</v>
      </c>
      <c r="B2">
        <f>ROUND(A2,2)</f>
        <v>1000.37</v>
      </c>
      <c r="C2">
        <f>ROUNDUP(A2,2)</f>
        <v>1000.37</v>
      </c>
      <c r="D2">
        <f>ROUNDDOWN(A2,2)</f>
        <v>1000.36</v>
      </c>
    </row>
    <row r="3" spans="1:4" x14ac:dyDescent="0.35">
      <c r="A3">
        <v>500.63200000000001</v>
      </c>
      <c r="B3">
        <f t="shared" ref="B3:B8" si="0">ROUND(A3,2)</f>
        <v>500.63</v>
      </c>
      <c r="C3">
        <f t="shared" ref="C3:C8" si="1">ROUNDUP(A3,2)</f>
        <v>500.64</v>
      </c>
      <c r="D3">
        <f t="shared" ref="D3:D8" si="2">ROUNDDOWN(A3,2)</f>
        <v>500.63</v>
      </c>
    </row>
    <row r="4" spans="1:4" x14ac:dyDescent="0.35">
      <c r="A4">
        <v>856.36199999999997</v>
      </c>
      <c r="B4">
        <f t="shared" si="0"/>
        <v>856.36</v>
      </c>
      <c r="C4">
        <f t="shared" si="1"/>
        <v>856.37</v>
      </c>
      <c r="D4">
        <f t="shared" si="2"/>
        <v>856.36</v>
      </c>
    </row>
    <row r="5" spans="1:4" x14ac:dyDescent="0.35">
      <c r="A5">
        <v>488.625</v>
      </c>
      <c r="B5">
        <f t="shared" si="0"/>
        <v>488.63</v>
      </c>
      <c r="C5">
        <f t="shared" si="1"/>
        <v>488.63</v>
      </c>
      <c r="D5">
        <f t="shared" si="2"/>
        <v>488.62</v>
      </c>
    </row>
    <row r="6" spans="1:4" x14ac:dyDescent="0.35">
      <c r="A6">
        <v>968.32500000000005</v>
      </c>
      <c r="B6">
        <f t="shared" si="0"/>
        <v>968.33</v>
      </c>
      <c r="C6">
        <f t="shared" si="1"/>
        <v>968.33</v>
      </c>
      <c r="D6">
        <f t="shared" si="2"/>
        <v>968.32</v>
      </c>
    </row>
    <row r="7" spans="1:4" x14ac:dyDescent="0.35">
      <c r="A7">
        <v>2869.9540000000002</v>
      </c>
      <c r="B7">
        <f t="shared" si="0"/>
        <v>2869.95</v>
      </c>
      <c r="C7">
        <f t="shared" si="1"/>
        <v>2869.96</v>
      </c>
      <c r="D7">
        <f t="shared" si="2"/>
        <v>2869.95</v>
      </c>
    </row>
    <row r="8" spans="1:4" x14ac:dyDescent="0.35">
      <c r="A8">
        <v>8964.7839999999997</v>
      </c>
      <c r="B8">
        <f t="shared" si="0"/>
        <v>8964.7800000000007</v>
      </c>
      <c r="C8">
        <f t="shared" si="1"/>
        <v>8964.7900000000009</v>
      </c>
      <c r="D8">
        <f t="shared" si="2"/>
        <v>8964.7800000000007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4406C-79BB-4CAF-802C-C61DE9DC28F6}">
  <dimension ref="A2:J31"/>
  <sheetViews>
    <sheetView topLeftCell="A13" zoomScale="91" zoomScaleNormal="105" workbookViewId="0">
      <selection activeCell="C18" sqref="C18:K32"/>
    </sheetView>
  </sheetViews>
  <sheetFormatPr defaultRowHeight="14.5" x14ac:dyDescent="0.35"/>
  <sheetData>
    <row r="2" spans="1:8" x14ac:dyDescent="0.35">
      <c r="A2" s="6" t="s">
        <v>127</v>
      </c>
      <c r="B2" s="6" t="s">
        <v>128</v>
      </c>
    </row>
    <row r="3" spans="1:8" x14ac:dyDescent="0.35">
      <c r="A3" t="s">
        <v>129</v>
      </c>
      <c r="B3">
        <v>36</v>
      </c>
    </row>
    <row r="4" spans="1:8" x14ac:dyDescent="0.35">
      <c r="A4" t="s">
        <v>130</v>
      </c>
      <c r="B4">
        <v>7</v>
      </c>
      <c r="E4" s="6" t="s">
        <v>127</v>
      </c>
      <c r="F4" s="6" t="s">
        <v>133</v>
      </c>
      <c r="G4" s="6" t="s">
        <v>17</v>
      </c>
      <c r="H4" s="6" t="s">
        <v>20</v>
      </c>
    </row>
    <row r="5" spans="1:8" x14ac:dyDescent="0.35">
      <c r="A5" t="s">
        <v>131</v>
      </c>
      <c r="B5">
        <v>45</v>
      </c>
      <c r="E5" t="s">
        <v>129</v>
      </c>
      <c r="F5">
        <f>SUMIF($A$3:$A$14,E5,$B$3:$B$14)</f>
        <v>185</v>
      </c>
      <c r="G5">
        <f>AVERAGEIF($A$3:$A$14,E5,$B$3:$B$14)</f>
        <v>37</v>
      </c>
      <c r="H5">
        <f>COUNTIF($A$3:$A$14,E5)</f>
        <v>5</v>
      </c>
    </row>
    <row r="6" spans="1:8" x14ac:dyDescent="0.35">
      <c r="A6" t="s">
        <v>129</v>
      </c>
      <c r="B6">
        <v>34</v>
      </c>
      <c r="E6" t="s">
        <v>130</v>
      </c>
      <c r="F6">
        <f t="shared" ref="F6:F8" si="0">SUMIF($A$3:$A$14,E6,$B$3:$B$14)</f>
        <v>7</v>
      </c>
      <c r="G6">
        <f t="shared" ref="G6:G8" si="1">AVERAGEIF($A$3:$A$14,E6,$B$3:$B$14)</f>
        <v>7</v>
      </c>
      <c r="H6">
        <f t="shared" ref="H6:H8" si="2">COUNTIF($A$3:$A$14,E6)</f>
        <v>1</v>
      </c>
    </row>
    <row r="7" spans="1:8" x14ac:dyDescent="0.35">
      <c r="A7" t="s">
        <v>131</v>
      </c>
      <c r="B7">
        <v>24</v>
      </c>
      <c r="E7" t="s">
        <v>131</v>
      </c>
      <c r="F7">
        <f t="shared" si="0"/>
        <v>157</v>
      </c>
      <c r="G7">
        <f t="shared" si="1"/>
        <v>52.333333333333336</v>
      </c>
      <c r="H7">
        <f t="shared" si="2"/>
        <v>3</v>
      </c>
    </row>
    <row r="8" spans="1:8" x14ac:dyDescent="0.35">
      <c r="A8" t="s">
        <v>131</v>
      </c>
      <c r="B8">
        <v>88</v>
      </c>
      <c r="E8" t="s">
        <v>132</v>
      </c>
      <c r="F8">
        <f t="shared" si="0"/>
        <v>106</v>
      </c>
      <c r="G8">
        <f t="shared" si="1"/>
        <v>35.333333333333336</v>
      </c>
      <c r="H8">
        <f t="shared" si="2"/>
        <v>3</v>
      </c>
    </row>
    <row r="9" spans="1:8" x14ac:dyDescent="0.35">
      <c r="A9" t="s">
        <v>129</v>
      </c>
      <c r="B9">
        <v>35</v>
      </c>
    </row>
    <row r="10" spans="1:8" x14ac:dyDescent="0.35">
      <c r="A10" t="s">
        <v>129</v>
      </c>
      <c r="B10">
        <v>24</v>
      </c>
    </row>
    <row r="11" spans="1:8" x14ac:dyDescent="0.35">
      <c r="A11" t="s">
        <v>132</v>
      </c>
      <c r="B11">
        <v>14</v>
      </c>
    </row>
    <row r="12" spans="1:8" x14ac:dyDescent="0.35">
      <c r="A12" t="s">
        <v>129</v>
      </c>
      <c r="B12">
        <v>56</v>
      </c>
    </row>
    <row r="13" spans="1:8" x14ac:dyDescent="0.35">
      <c r="A13" t="s">
        <v>132</v>
      </c>
      <c r="B13">
        <v>25</v>
      </c>
    </row>
    <row r="14" spans="1:8" x14ac:dyDescent="0.35">
      <c r="A14" t="s">
        <v>132</v>
      </c>
      <c r="B14">
        <v>67</v>
      </c>
    </row>
    <row r="19" spans="4:10" x14ac:dyDescent="0.35">
      <c r="D19" s="18" t="s">
        <v>136</v>
      </c>
      <c r="E19" s="18" t="s">
        <v>137</v>
      </c>
    </row>
    <row r="20" spans="4:10" x14ac:dyDescent="0.35">
      <c r="D20" s="19" t="s">
        <v>138</v>
      </c>
      <c r="E20" s="19">
        <v>450</v>
      </c>
    </row>
    <row r="21" spans="4:10" x14ac:dyDescent="0.35">
      <c r="D21" s="19" t="s">
        <v>139</v>
      </c>
      <c r="E21" s="19">
        <v>300</v>
      </c>
    </row>
    <row r="22" spans="4:10" x14ac:dyDescent="0.35">
      <c r="D22" s="19" t="s">
        <v>140</v>
      </c>
      <c r="E22" s="19">
        <v>600</v>
      </c>
    </row>
    <row r="23" spans="4:10" ht="29" x14ac:dyDescent="0.35">
      <c r="D23" s="19" t="s">
        <v>138</v>
      </c>
      <c r="E23" s="19">
        <v>550</v>
      </c>
      <c r="G23" s="18" t="s">
        <v>136</v>
      </c>
      <c r="H23" s="18" t="s">
        <v>142</v>
      </c>
      <c r="I23" s="18" t="s">
        <v>143</v>
      </c>
      <c r="J23" s="18" t="s">
        <v>144</v>
      </c>
    </row>
    <row r="24" spans="4:10" x14ac:dyDescent="0.35">
      <c r="D24" s="19" t="s">
        <v>140</v>
      </c>
      <c r="E24" s="19">
        <v>400</v>
      </c>
      <c r="G24" s="19" t="s">
        <v>138</v>
      </c>
      <c r="H24" s="19" t="s">
        <v>145</v>
      </c>
      <c r="I24" s="19" t="s">
        <v>145</v>
      </c>
      <c r="J24" s="19" t="s">
        <v>145</v>
      </c>
    </row>
    <row r="25" spans="4:10" x14ac:dyDescent="0.35">
      <c r="D25" s="19" t="s">
        <v>139</v>
      </c>
      <c r="E25" s="19">
        <v>350</v>
      </c>
      <c r="G25" s="19" t="s">
        <v>139</v>
      </c>
      <c r="H25" s="19" t="s">
        <v>145</v>
      </c>
      <c r="I25" s="19" t="s">
        <v>145</v>
      </c>
      <c r="J25" s="19" t="s">
        <v>145</v>
      </c>
    </row>
    <row r="26" spans="4:10" x14ac:dyDescent="0.35">
      <c r="D26" s="19" t="s">
        <v>138</v>
      </c>
      <c r="E26" s="19">
        <v>500</v>
      </c>
      <c r="G26" s="19" t="s">
        <v>140</v>
      </c>
      <c r="H26" s="19" t="s">
        <v>145</v>
      </c>
      <c r="I26" s="19" t="s">
        <v>145</v>
      </c>
      <c r="J26" s="19" t="s">
        <v>145</v>
      </c>
    </row>
    <row r="27" spans="4:10" ht="29" x14ac:dyDescent="0.35">
      <c r="D27" s="19" t="s">
        <v>141</v>
      </c>
      <c r="E27" s="19">
        <v>380</v>
      </c>
      <c r="G27" s="19" t="s">
        <v>141</v>
      </c>
      <c r="H27" s="19" t="s">
        <v>145</v>
      </c>
      <c r="I27" s="19" t="s">
        <v>145</v>
      </c>
      <c r="J27" s="19" t="s">
        <v>145</v>
      </c>
    </row>
    <row r="28" spans="4:10" x14ac:dyDescent="0.35">
      <c r="D28" s="19" t="s">
        <v>140</v>
      </c>
      <c r="E28" s="19">
        <v>450</v>
      </c>
    </row>
    <row r="29" spans="4:10" ht="29" x14ac:dyDescent="0.35">
      <c r="D29" s="19" t="s">
        <v>141</v>
      </c>
      <c r="E29" s="19">
        <v>420</v>
      </c>
    </row>
    <row r="30" spans="4:10" x14ac:dyDescent="0.35">
      <c r="D30" s="19" t="s">
        <v>139</v>
      </c>
      <c r="E30" s="19">
        <v>250</v>
      </c>
    </row>
    <row r="31" spans="4:10" x14ac:dyDescent="0.35">
      <c r="D31" s="19" t="s">
        <v>138</v>
      </c>
      <c r="E31" s="19">
        <v>600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D6C81-3893-47FA-B540-926E913472B4}">
  <dimension ref="B2:H14"/>
  <sheetViews>
    <sheetView workbookViewId="0">
      <selection activeCell="K6" sqref="K6"/>
    </sheetView>
  </sheetViews>
  <sheetFormatPr defaultRowHeight="14.5" x14ac:dyDescent="0.35"/>
  <sheetData>
    <row r="2" spans="2:8" x14ac:dyDescent="0.35">
      <c r="B2" s="18" t="s">
        <v>136</v>
      </c>
      <c r="C2" s="18" t="s">
        <v>137</v>
      </c>
    </row>
    <row r="3" spans="2:8" x14ac:dyDescent="0.35">
      <c r="B3" s="19" t="s">
        <v>138</v>
      </c>
      <c r="C3" s="19">
        <v>450</v>
      </c>
    </row>
    <row r="4" spans="2:8" x14ac:dyDescent="0.35">
      <c r="B4" s="19" t="s">
        <v>139</v>
      </c>
      <c r="C4" s="19">
        <v>300</v>
      </c>
    </row>
    <row r="5" spans="2:8" x14ac:dyDescent="0.35">
      <c r="B5" s="19" t="s">
        <v>140</v>
      </c>
      <c r="C5" s="19">
        <v>600</v>
      </c>
    </row>
    <row r="6" spans="2:8" ht="29" x14ac:dyDescent="0.35">
      <c r="B6" s="19" t="s">
        <v>138</v>
      </c>
      <c r="C6" s="19">
        <v>550</v>
      </c>
      <c r="E6" s="18" t="s">
        <v>136</v>
      </c>
      <c r="F6" s="18" t="s">
        <v>142</v>
      </c>
      <c r="G6" s="18" t="s">
        <v>143</v>
      </c>
      <c r="H6" s="18" t="s">
        <v>144</v>
      </c>
    </row>
    <row r="7" spans="2:8" x14ac:dyDescent="0.35">
      <c r="B7" s="19" t="s">
        <v>140</v>
      </c>
      <c r="C7" s="19">
        <v>400</v>
      </c>
      <c r="E7" s="19" t="s">
        <v>138</v>
      </c>
      <c r="F7" s="19" t="s">
        <v>145</v>
      </c>
      <c r="G7" s="19" t="s">
        <v>145</v>
      </c>
      <c r="H7" s="19" t="s">
        <v>145</v>
      </c>
    </row>
    <row r="8" spans="2:8" x14ac:dyDescent="0.35">
      <c r="B8" s="19" t="s">
        <v>139</v>
      </c>
      <c r="C8" s="19">
        <v>350</v>
      </c>
      <c r="E8" s="19" t="s">
        <v>139</v>
      </c>
      <c r="F8" s="19" t="s">
        <v>145</v>
      </c>
      <c r="G8" s="19" t="s">
        <v>145</v>
      </c>
      <c r="H8" s="19" t="s">
        <v>145</v>
      </c>
    </row>
    <row r="9" spans="2:8" x14ac:dyDescent="0.35">
      <c r="B9" s="19" t="s">
        <v>138</v>
      </c>
      <c r="C9" s="19">
        <v>500</v>
      </c>
      <c r="E9" s="19" t="s">
        <v>140</v>
      </c>
      <c r="F9" s="19" t="s">
        <v>145</v>
      </c>
      <c r="G9" s="19" t="s">
        <v>145</v>
      </c>
      <c r="H9" s="19" t="s">
        <v>145</v>
      </c>
    </row>
    <row r="10" spans="2:8" ht="29" x14ac:dyDescent="0.35">
      <c r="B10" s="19" t="s">
        <v>141</v>
      </c>
      <c r="C10" s="19">
        <v>380</v>
      </c>
      <c r="E10" s="19" t="s">
        <v>141</v>
      </c>
      <c r="F10" s="19" t="s">
        <v>145</v>
      </c>
      <c r="G10" s="19" t="s">
        <v>145</v>
      </c>
      <c r="H10" s="19" t="s">
        <v>145</v>
      </c>
    </row>
    <row r="11" spans="2:8" x14ac:dyDescent="0.35">
      <c r="B11" s="19" t="s">
        <v>140</v>
      </c>
      <c r="C11" s="19">
        <v>450</v>
      </c>
    </row>
    <row r="12" spans="2:8" ht="29" x14ac:dyDescent="0.35">
      <c r="B12" s="19" t="s">
        <v>141</v>
      </c>
      <c r="C12" s="19">
        <v>420</v>
      </c>
    </row>
    <row r="13" spans="2:8" x14ac:dyDescent="0.35">
      <c r="B13" s="19" t="s">
        <v>139</v>
      </c>
      <c r="C13" s="19">
        <v>250</v>
      </c>
    </row>
    <row r="14" spans="2:8" x14ac:dyDescent="0.35">
      <c r="B14" s="19" t="s">
        <v>138</v>
      </c>
      <c r="C14" s="19">
        <v>600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A413C-6A8E-4F65-B1B5-1EF498E4ADB2}">
  <dimension ref="A1:E11"/>
  <sheetViews>
    <sheetView tabSelected="1" zoomScale="91" zoomScaleNormal="91" workbookViewId="0">
      <selection activeCell="J16" sqref="J16"/>
    </sheetView>
  </sheetViews>
  <sheetFormatPr defaultRowHeight="14.5" x14ac:dyDescent="0.35"/>
  <sheetData>
    <row r="1" spans="1:5" x14ac:dyDescent="0.35">
      <c r="A1" s="18" t="s">
        <v>146</v>
      </c>
      <c r="B1" s="18" t="s">
        <v>147</v>
      </c>
      <c r="C1" s="18" t="s">
        <v>148</v>
      </c>
      <c r="D1" s="18" t="s">
        <v>149</v>
      </c>
      <c r="E1" s="18" t="s">
        <v>150</v>
      </c>
    </row>
    <row r="2" spans="1:5" x14ac:dyDescent="0.35">
      <c r="A2" s="19" t="s">
        <v>151</v>
      </c>
      <c r="B2" s="19" t="s">
        <v>152</v>
      </c>
      <c r="C2" s="19">
        <v>85</v>
      </c>
      <c r="D2" s="19" t="s">
        <v>140</v>
      </c>
      <c r="E2" s="19" t="s">
        <v>153</v>
      </c>
    </row>
    <row r="3" spans="1:5" x14ac:dyDescent="0.35">
      <c r="A3" s="19" t="s">
        <v>154</v>
      </c>
      <c r="B3" s="19" t="s">
        <v>155</v>
      </c>
      <c r="C3" s="19">
        <v>72</v>
      </c>
      <c r="D3" s="19" t="s">
        <v>156</v>
      </c>
      <c r="E3" s="19" t="s">
        <v>157</v>
      </c>
    </row>
    <row r="4" spans="1:5" x14ac:dyDescent="0.35">
      <c r="A4" s="19" t="s">
        <v>158</v>
      </c>
      <c r="B4" s="19" t="s">
        <v>152</v>
      </c>
      <c r="C4" s="19">
        <v>60</v>
      </c>
      <c r="D4" s="19" t="s">
        <v>140</v>
      </c>
      <c r="E4" s="19" t="s">
        <v>153</v>
      </c>
    </row>
    <row r="5" spans="1:5" x14ac:dyDescent="0.35">
      <c r="A5" s="19" t="s">
        <v>159</v>
      </c>
      <c r="B5" s="19" t="s">
        <v>160</v>
      </c>
      <c r="C5" s="19">
        <v>90</v>
      </c>
      <c r="D5" s="19" t="s">
        <v>161</v>
      </c>
      <c r="E5" s="19" t="s">
        <v>153</v>
      </c>
    </row>
    <row r="6" spans="1:5" x14ac:dyDescent="0.35">
      <c r="A6" s="19" t="s">
        <v>162</v>
      </c>
      <c r="B6" s="19" t="s">
        <v>152</v>
      </c>
      <c r="C6" s="19">
        <v>45</v>
      </c>
      <c r="D6" s="19" t="s">
        <v>156</v>
      </c>
      <c r="E6" s="19" t="s">
        <v>157</v>
      </c>
    </row>
    <row r="7" spans="1:5" x14ac:dyDescent="0.35">
      <c r="A7" s="19" t="s">
        <v>163</v>
      </c>
      <c r="B7" s="19" t="s">
        <v>160</v>
      </c>
      <c r="C7" s="19">
        <v>78</v>
      </c>
      <c r="D7" s="19" t="s">
        <v>140</v>
      </c>
      <c r="E7" s="19" t="s">
        <v>153</v>
      </c>
    </row>
    <row r="8" spans="1:5" x14ac:dyDescent="0.35">
      <c r="A8" s="19" t="s">
        <v>2</v>
      </c>
      <c r="B8" s="19" t="s">
        <v>155</v>
      </c>
      <c r="C8" s="19">
        <v>88</v>
      </c>
      <c r="D8" s="19" t="s">
        <v>161</v>
      </c>
      <c r="E8" s="19" t="s">
        <v>153</v>
      </c>
    </row>
    <row r="9" spans="1:5" x14ac:dyDescent="0.35">
      <c r="A9" s="19" t="s">
        <v>164</v>
      </c>
      <c r="B9" s="19" t="s">
        <v>152</v>
      </c>
      <c r="C9" s="19">
        <v>95</v>
      </c>
      <c r="D9" s="19" t="s">
        <v>140</v>
      </c>
      <c r="E9" s="19" t="s">
        <v>153</v>
      </c>
    </row>
    <row r="10" spans="1:5" x14ac:dyDescent="0.35">
      <c r="A10" s="19" t="s">
        <v>165</v>
      </c>
      <c r="B10" s="19" t="s">
        <v>160</v>
      </c>
      <c r="C10" s="19">
        <v>67</v>
      </c>
      <c r="D10" s="19" t="s">
        <v>156</v>
      </c>
      <c r="E10" s="19" t="s">
        <v>157</v>
      </c>
    </row>
    <row r="11" spans="1:5" x14ac:dyDescent="0.35">
      <c r="A11" s="19" t="s">
        <v>166</v>
      </c>
      <c r="B11" s="19" t="s">
        <v>155</v>
      </c>
      <c r="C11" s="19">
        <v>55</v>
      </c>
      <c r="D11" s="19" t="s">
        <v>140</v>
      </c>
      <c r="E11" s="19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statistical formula</vt:lpstr>
      <vt:lpstr>Sheet3</vt:lpstr>
      <vt:lpstr>text formula</vt:lpstr>
      <vt:lpstr>cell refrencing</vt:lpstr>
      <vt:lpstr>time and date formula</vt:lpstr>
      <vt:lpstr>rank formula ,and,or</vt:lpstr>
      <vt:lpstr>round formulas</vt:lpstr>
      <vt:lpstr>sum if,average if,count if </vt:lpstr>
      <vt:lpstr>sum if ,average if,count if for</vt:lpstr>
      <vt:lpstr>sum if ,count if,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2026-02-23T04:04:33Z</dcterms:created>
  <dcterms:modified xsi:type="dcterms:W3CDTF">2026-02-25T11:07:29Z</dcterms:modified>
</cp:coreProperties>
</file>